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f8a93ed001a02b2/Documentos/AMWAY/06 PATOLOGIAS/"/>
    </mc:Choice>
  </mc:AlternateContent>
  <xr:revisionPtr revIDLastSave="147" documentId="13_ncr:1_{683920E1-9E19-1948-BA42-7B175A148CB3}" xr6:coauthVersionLast="47" xr6:coauthVersionMax="47" xr10:uidLastSave="{902A19F0-47B9-47F6-B974-3DCEE800492F}"/>
  <bookViews>
    <workbookView minimized="1" xWindow="756" yWindow="768" windowWidth="21624" windowHeight="11112" tabRatio="947" xr2:uid="{00000000-000D-0000-FFFF-FFFF00000000}"/>
  </bookViews>
  <sheets>
    <sheet name="Questionário &amp; Resultados" sheetId="6" r:id="rId1"/>
    <sheet name="Bibliografia" sheetId="7" r:id="rId2"/>
    <sheet name="Tabela de Resultados" sheetId="5" r:id="rId3"/>
    <sheet name="Base de Dados" sheetId="4" r:id="rId4"/>
    <sheet name="Perfil Vitaminico" sheetId="1" r:id="rId5"/>
    <sheet name="Perfil Mineral" sheetId="2" r:id="rId6"/>
    <sheet name="Perfil de A. Gordos" sheetId="3" r:id="rId7"/>
    <sheet name="Suplem. Adicionais" sheetId="9" r:id="rId8"/>
  </sheets>
  <definedNames>
    <definedName name="_xlnm._FilterDatabase" localSheetId="3" hidden="1">'Base de Dados'!$B$2:$C$215</definedName>
    <definedName name="_xlnm._FilterDatabase" localSheetId="0" hidden="1">'Questionário &amp; Resultados'!$B$2:$E$97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72" i="4" l="1"/>
  <c r="E171" i="4"/>
  <c r="E169" i="4"/>
  <c r="E168" i="4"/>
  <c r="E14" i="4"/>
  <c r="E10" i="4"/>
  <c r="E9" i="4"/>
  <c r="E62" i="4"/>
  <c r="E63" i="4"/>
  <c r="AM4" i="9"/>
  <c r="C14" i="9" s="1"/>
  <c r="L23" i="4" s="1"/>
  <c r="AJ5" i="9"/>
  <c r="C13" i="9" s="1"/>
  <c r="L31" i="4" s="1"/>
  <c r="AG10" i="9"/>
  <c r="C12" i="9" s="1"/>
  <c r="L32" i="4" s="1"/>
  <c r="AD6" i="9"/>
  <c r="C11" i="9" s="1"/>
  <c r="L24" i="4" s="1"/>
  <c r="AA8" i="9"/>
  <c r="C10" i="9" s="1"/>
  <c r="L28" i="4" s="1"/>
  <c r="X6" i="9"/>
  <c r="C9" i="9" s="1"/>
  <c r="L33" i="4" s="1"/>
  <c r="U6" i="9"/>
  <c r="C8" i="9" s="1"/>
  <c r="L30" i="4" s="1"/>
  <c r="R7" i="9"/>
  <c r="C7" i="9" s="1"/>
  <c r="L25" i="4" s="1"/>
  <c r="O5" i="9"/>
  <c r="C6" i="9" s="1"/>
  <c r="L27" i="4" s="1"/>
  <c r="L4" i="9"/>
  <c r="C5" i="9" s="1"/>
  <c r="L26" i="4" s="1"/>
  <c r="I12" i="9"/>
  <c r="C4" i="9" s="1"/>
  <c r="L22" i="4" s="1"/>
  <c r="F6" i="9"/>
  <c r="C3" i="9" s="1"/>
  <c r="F16" i="3"/>
  <c r="C3" i="3" s="1"/>
  <c r="X9" i="2"/>
  <c r="C9" i="2" s="1"/>
  <c r="L15" i="4" s="1"/>
  <c r="U11" i="2"/>
  <c r="C8" i="2" s="1"/>
  <c r="L20" i="4" s="1"/>
  <c r="R7" i="2"/>
  <c r="C7" i="2" s="1"/>
  <c r="L19" i="4" s="1"/>
  <c r="O8" i="2"/>
  <c r="C6" i="2"/>
  <c r="L18" i="4" s="1"/>
  <c r="L9" i="2"/>
  <c r="C5" i="2" s="1"/>
  <c r="L16" i="4" s="1"/>
  <c r="I17" i="2"/>
  <c r="C4" i="2"/>
  <c r="L17" i="4" s="1"/>
  <c r="F12" i="2"/>
  <c r="C3" i="2" s="1"/>
  <c r="AJ11" i="1"/>
  <c r="C13" i="1" s="1"/>
  <c r="L11" i="4" s="1"/>
  <c r="AG12" i="1"/>
  <c r="C12" i="1"/>
  <c r="L10" i="4" s="1"/>
  <c r="AA12" i="1"/>
  <c r="C10" i="1" s="1"/>
  <c r="L12" i="4" s="1"/>
  <c r="AD12" i="1"/>
  <c r="C11" i="1" s="1"/>
  <c r="L13" i="4" s="1"/>
  <c r="X11" i="1"/>
  <c r="C9" i="1" s="1"/>
  <c r="L9" i="4" s="1"/>
  <c r="U12" i="1"/>
  <c r="C8" i="1" s="1"/>
  <c r="L8" i="4" s="1"/>
  <c r="R11" i="1"/>
  <c r="C7" i="1" s="1"/>
  <c r="L7" i="4" s="1"/>
  <c r="O13" i="1"/>
  <c r="C6" i="1" s="1"/>
  <c r="L6" i="4" s="1"/>
  <c r="L12" i="1"/>
  <c r="C5" i="1" s="1"/>
  <c r="L5" i="4" s="1"/>
  <c r="I21" i="1"/>
  <c r="C4" i="1" s="1"/>
  <c r="L4" i="4" s="1"/>
  <c r="F12" i="1"/>
  <c r="C3" i="1" s="1"/>
  <c r="E52" i="4"/>
  <c r="E184" i="4"/>
  <c r="E199" i="4"/>
  <c r="E181" i="4"/>
  <c r="E163" i="4"/>
  <c r="E149" i="4"/>
  <c r="E116" i="4"/>
  <c r="E90" i="4"/>
  <c r="E46" i="4"/>
  <c r="E29" i="4"/>
  <c r="E101" i="4"/>
  <c r="E93" i="4"/>
  <c r="E27" i="4"/>
  <c r="E26" i="4"/>
  <c r="E145" i="4"/>
  <c r="E109" i="4"/>
  <c r="E102" i="4"/>
  <c r="E95" i="4"/>
  <c r="E28" i="4"/>
  <c r="E214" i="4"/>
  <c r="E194" i="4"/>
  <c r="E79" i="4"/>
  <c r="E160" i="4"/>
  <c r="E122" i="4"/>
  <c r="E68" i="4"/>
  <c r="E40" i="4"/>
  <c r="E69" i="4"/>
  <c r="E161" i="4"/>
  <c r="E201" i="4"/>
  <c r="E190" i="4"/>
  <c r="E158" i="4"/>
  <c r="E135" i="4"/>
  <c r="E121" i="4"/>
  <c r="E74" i="4"/>
  <c r="E73" i="4"/>
  <c r="E71" i="4"/>
  <c r="E39" i="4"/>
  <c r="E3" i="4"/>
  <c r="E136" i="4"/>
  <c r="E76" i="4"/>
  <c r="E72" i="4"/>
  <c r="AI97" i="5"/>
  <c r="AD97" i="5" s="1"/>
  <c r="AI96" i="5"/>
  <c r="K96" i="5" s="1"/>
  <c r="AI95" i="5"/>
  <c r="E95" i="5" s="1"/>
  <c r="AI94" i="5"/>
  <c r="P94" i="5" s="1"/>
  <c r="AI93" i="5"/>
  <c r="R93" i="5" s="1"/>
  <c r="AI92" i="5"/>
  <c r="O92" i="5" s="1"/>
  <c r="AI91" i="5"/>
  <c r="V91" i="5" s="1"/>
  <c r="AI90" i="5"/>
  <c r="O90" i="5" s="1"/>
  <c r="AI89" i="5"/>
  <c r="AE89" i="5" s="1"/>
  <c r="AI88" i="5"/>
  <c r="S88" i="5" s="1"/>
  <c r="AI87" i="5"/>
  <c r="Q87" i="5" s="1"/>
  <c r="AI86" i="5"/>
  <c r="AD86" i="5" s="1"/>
  <c r="AI85" i="5"/>
  <c r="U85" i="5" s="1"/>
  <c r="AI84" i="5"/>
  <c r="V84" i="5" s="1"/>
  <c r="AI83" i="5"/>
  <c r="D83" i="5"/>
  <c r="AI82" i="5"/>
  <c r="M82" i="5" s="1"/>
  <c r="AI81" i="5"/>
  <c r="AG81" i="5"/>
  <c r="AI80" i="5"/>
  <c r="K80" i="5" s="1"/>
  <c r="AI79" i="5"/>
  <c r="AE79" i="5" s="1"/>
  <c r="AI78" i="5"/>
  <c r="AF78" i="5" s="1"/>
  <c r="AI77" i="5"/>
  <c r="J77" i="5" s="1"/>
  <c r="AI76" i="5"/>
  <c r="U76" i="5" s="1"/>
  <c r="AI75" i="5"/>
  <c r="T75" i="5" s="1"/>
  <c r="AI74" i="5"/>
  <c r="H74" i="5" s="1"/>
  <c r="AI73" i="5"/>
  <c r="J73" i="5"/>
  <c r="AI72" i="5"/>
  <c r="N73" i="5" s="1"/>
  <c r="AI71" i="5"/>
  <c r="U71" i="5"/>
  <c r="AI70" i="5"/>
  <c r="E70" i="5" s="1"/>
  <c r="AI69" i="5"/>
  <c r="AA69" i="5" s="1"/>
  <c r="AI68" i="5"/>
  <c r="U68" i="5" s="1"/>
  <c r="AI67" i="5"/>
  <c r="G67" i="5" s="1"/>
  <c r="AI66" i="5"/>
  <c r="O66" i="5" s="1"/>
  <c r="AI65" i="5"/>
  <c r="AI64" i="5"/>
  <c r="D64" i="5" s="1"/>
  <c r="AI63" i="5"/>
  <c r="H63" i="5" s="1"/>
  <c r="AI62" i="5"/>
  <c r="W62" i="5" s="1"/>
  <c r="AI61" i="5"/>
  <c r="AB61" i="5" s="1"/>
  <c r="AI60" i="5"/>
  <c r="AG60" i="5" s="1"/>
  <c r="AI59" i="5"/>
  <c r="AG59" i="5"/>
  <c r="AI58" i="5"/>
  <c r="O58" i="5" s="1"/>
  <c r="AI57" i="5"/>
  <c r="I57" i="5" s="1"/>
  <c r="AI56" i="5"/>
  <c r="T56" i="5" s="1"/>
  <c r="AI55" i="5"/>
  <c r="E55" i="5" s="1"/>
  <c r="AI54" i="5"/>
  <c r="AC54" i="5" s="1"/>
  <c r="AI53" i="5"/>
  <c r="G53" i="5" s="1"/>
  <c r="AI52" i="5"/>
  <c r="Q52" i="5" s="1"/>
  <c r="AI51" i="5"/>
  <c r="K51" i="5" s="1"/>
  <c r="AI50" i="5"/>
  <c r="V50" i="5" s="1"/>
  <c r="AI49" i="5"/>
  <c r="S49" i="5" s="1"/>
  <c r="AI48" i="5"/>
  <c r="I48" i="5" s="1"/>
  <c r="AI47" i="5"/>
  <c r="I47" i="5" s="1"/>
  <c r="AI46" i="5"/>
  <c r="Q46" i="5" s="1"/>
  <c r="AI45" i="5"/>
  <c r="D45" i="5" s="1"/>
  <c r="AI44" i="5"/>
  <c r="D44" i="5" s="1"/>
  <c r="AI43" i="5"/>
  <c r="AB43" i="5" s="1"/>
  <c r="AI42" i="5"/>
  <c r="D42" i="5" s="1"/>
  <c r="AI41" i="5"/>
  <c r="P41" i="5" s="1"/>
  <c r="AI40" i="5"/>
  <c r="K40" i="5" s="1"/>
  <c r="AI39" i="5"/>
  <c r="X39" i="5" s="1"/>
  <c r="AI38" i="5"/>
  <c r="T38" i="5" s="1"/>
  <c r="AI37" i="5"/>
  <c r="AF37" i="5" s="1"/>
  <c r="AI36" i="5"/>
  <c r="I36" i="5" s="1"/>
  <c r="AI35" i="5"/>
  <c r="O35" i="5" s="1"/>
  <c r="AI34" i="5"/>
  <c r="H34" i="5" s="1"/>
  <c r="AI33" i="5"/>
  <c r="AD33" i="5" s="1"/>
  <c r="AI32" i="5"/>
  <c r="AC32" i="5" s="1"/>
  <c r="AI31" i="5"/>
  <c r="AC31" i="5" s="1"/>
  <c r="AI30" i="5"/>
  <c r="AA30" i="5" s="1"/>
  <c r="AI29" i="5"/>
  <c r="R29" i="5" s="1"/>
  <c r="AI28" i="5"/>
  <c r="J28" i="5" s="1"/>
  <c r="AI27" i="5"/>
  <c r="T27" i="5" s="1"/>
  <c r="AI26" i="5"/>
  <c r="U26" i="5" s="1"/>
  <c r="AI25" i="5"/>
  <c r="G25" i="5" s="1"/>
  <c r="AI24" i="5"/>
  <c r="C24" i="5" s="1"/>
  <c r="F24" i="5"/>
  <c r="AI23" i="5"/>
  <c r="E23" i="5" s="1"/>
  <c r="H23" i="5"/>
  <c r="AI22" i="5"/>
  <c r="Q22" i="5" s="1"/>
  <c r="AI21" i="5"/>
  <c r="Q21" i="5" s="1"/>
  <c r="AI20" i="5"/>
  <c r="AF20" i="5" s="1"/>
  <c r="AI19" i="5"/>
  <c r="I19" i="5" s="1"/>
  <c r="AI18" i="5"/>
  <c r="I18" i="5" s="1"/>
  <c r="K18" i="5"/>
  <c r="AI17" i="5"/>
  <c r="E17" i="5" s="1"/>
  <c r="AI16" i="5"/>
  <c r="C16" i="5"/>
  <c r="AI15" i="5"/>
  <c r="N15" i="5" s="1"/>
  <c r="AI14" i="5"/>
  <c r="AB14" i="5" s="1"/>
  <c r="AI13" i="5"/>
  <c r="D13" i="5" s="1"/>
  <c r="AI12" i="5"/>
  <c r="E12" i="5" s="1"/>
  <c r="AI11" i="5"/>
  <c r="U11" i="5" s="1"/>
  <c r="AI10" i="5"/>
  <c r="M10" i="5" s="1"/>
  <c r="AI9" i="5"/>
  <c r="H9" i="5" s="1"/>
  <c r="AI8" i="5"/>
  <c r="Q8" i="5" s="1"/>
  <c r="AI7" i="5"/>
  <c r="D7" i="5" s="1"/>
  <c r="AI6" i="5"/>
  <c r="D6" i="5" s="1"/>
  <c r="AI5" i="5"/>
  <c r="Q5" i="5" s="1"/>
  <c r="AI4" i="5"/>
  <c r="C4" i="5" s="1"/>
  <c r="E215" i="4"/>
  <c r="E213" i="4"/>
  <c r="E212" i="4"/>
  <c r="E211" i="4"/>
  <c r="E210" i="4"/>
  <c r="E209" i="4"/>
  <c r="E208" i="4"/>
  <c r="E206" i="4"/>
  <c r="E207" i="4"/>
  <c r="E205" i="4"/>
  <c r="E204" i="4"/>
  <c r="E203" i="4"/>
  <c r="E202" i="4"/>
  <c r="E200" i="4"/>
  <c r="E198" i="4"/>
  <c r="E197" i="4"/>
  <c r="E196" i="4"/>
  <c r="E195" i="4"/>
  <c r="E193" i="4"/>
  <c r="E192" i="4"/>
  <c r="E191" i="4"/>
  <c r="E189" i="4"/>
  <c r="E188" i="4"/>
  <c r="E187" i="4"/>
  <c r="E186" i="4"/>
  <c r="E185" i="4"/>
  <c r="E183" i="4"/>
  <c r="E182" i="4"/>
  <c r="E180" i="4"/>
  <c r="E179" i="4"/>
  <c r="E178" i="4"/>
  <c r="E177" i="4"/>
  <c r="E176" i="4"/>
  <c r="E175" i="4"/>
  <c r="E174" i="4"/>
  <c r="E173" i="4"/>
  <c r="E170" i="4"/>
  <c r="E167" i="4"/>
  <c r="E166" i="4"/>
  <c r="E165" i="4"/>
  <c r="E164" i="4"/>
  <c r="E162" i="4"/>
  <c r="E159" i="4"/>
  <c r="E157" i="4"/>
  <c r="E156" i="4"/>
  <c r="E155" i="4"/>
  <c r="E154" i="4"/>
  <c r="E153" i="4"/>
  <c r="E152" i="4"/>
  <c r="E151" i="4"/>
  <c r="E150" i="4"/>
  <c r="E148" i="4"/>
  <c r="E147" i="4"/>
  <c r="E146" i="4"/>
  <c r="E144" i="4"/>
  <c r="E143" i="4"/>
  <c r="E142" i="4"/>
  <c r="E141" i="4"/>
  <c r="E140" i="4"/>
  <c r="E139" i="4"/>
  <c r="E138" i="4"/>
  <c r="E137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0" i="4"/>
  <c r="E119" i="4"/>
  <c r="E118" i="4"/>
  <c r="E117" i="4"/>
  <c r="E115" i="4"/>
  <c r="E114" i="4"/>
  <c r="E113" i="4"/>
  <c r="E112" i="4"/>
  <c r="E111" i="4"/>
  <c r="E110" i="4"/>
  <c r="E108" i="4"/>
  <c r="E107" i="4"/>
  <c r="E106" i="4"/>
  <c r="E105" i="4"/>
  <c r="E104" i="4"/>
  <c r="E103" i="4"/>
  <c r="E100" i="4"/>
  <c r="E99" i="4"/>
  <c r="E98" i="4"/>
  <c r="E97" i="4"/>
  <c r="E96" i="4"/>
  <c r="E94" i="4"/>
  <c r="E92" i="4"/>
  <c r="E91" i="4"/>
  <c r="E89" i="4"/>
  <c r="E88" i="4"/>
  <c r="E87" i="4"/>
  <c r="E86" i="4"/>
  <c r="E85" i="4"/>
  <c r="E84" i="4"/>
  <c r="E83" i="4"/>
  <c r="E82" i="4"/>
  <c r="E81" i="4"/>
  <c r="E80" i="4"/>
  <c r="E78" i="4"/>
  <c r="E77" i="4"/>
  <c r="E75" i="4"/>
  <c r="E70" i="4"/>
  <c r="E67" i="4"/>
  <c r="E66" i="4"/>
  <c r="E64" i="4"/>
  <c r="E61" i="4"/>
  <c r="E60" i="4"/>
  <c r="E59" i="4"/>
  <c r="E58" i="4"/>
  <c r="E57" i="4"/>
  <c r="E56" i="4"/>
  <c r="E55" i="4"/>
  <c r="E54" i="4"/>
  <c r="E53" i="4"/>
  <c r="E51" i="4"/>
  <c r="E50" i="4"/>
  <c r="E49" i="4"/>
  <c r="E48" i="4"/>
  <c r="E47" i="4"/>
  <c r="E44" i="4"/>
  <c r="E45" i="4"/>
  <c r="E43" i="4"/>
  <c r="E42" i="4"/>
  <c r="E41" i="4"/>
  <c r="E38" i="4"/>
  <c r="E37" i="4"/>
  <c r="E36" i="4"/>
  <c r="E35" i="4"/>
  <c r="E34" i="4"/>
  <c r="E33" i="4"/>
  <c r="E32" i="4"/>
  <c r="E31" i="4"/>
  <c r="E30" i="4"/>
  <c r="E25" i="4"/>
  <c r="E24" i="4"/>
  <c r="E23" i="4"/>
  <c r="E22" i="4"/>
  <c r="E21" i="4"/>
  <c r="E20" i="4"/>
  <c r="E19" i="4"/>
  <c r="E18" i="4"/>
  <c r="E17" i="4"/>
  <c r="E16" i="4"/>
  <c r="E15" i="4"/>
  <c r="E13" i="4"/>
  <c r="E12" i="4"/>
  <c r="E11" i="4"/>
  <c r="E8" i="4"/>
  <c r="E7" i="4"/>
  <c r="E6" i="4"/>
  <c r="E5" i="4"/>
  <c r="E4" i="4"/>
  <c r="AI3" i="5"/>
  <c r="C3" i="5" s="1"/>
  <c r="U84" i="5"/>
  <c r="O65" i="5"/>
  <c r="G84" i="5"/>
  <c r="C50" i="5"/>
  <c r="T19" i="5"/>
  <c r="P64" i="5"/>
  <c r="E94" i="5"/>
  <c r="R21" i="5" l="1"/>
  <c r="Q72" i="5"/>
  <c r="T18" i="5"/>
  <c r="M64" i="5"/>
  <c r="F47" i="5"/>
  <c r="T3" i="5"/>
  <c r="M23" i="5"/>
  <c r="E34" i="5"/>
  <c r="E99" i="5" s="1"/>
  <c r="U34" i="5"/>
  <c r="Y50" i="5"/>
  <c r="C97" i="5"/>
  <c r="F22" i="5"/>
  <c r="Q69" i="5"/>
  <c r="K36" i="5"/>
  <c r="L34" i="5"/>
  <c r="J82" i="5"/>
  <c r="L22" i="5"/>
  <c r="U89" i="5"/>
  <c r="V3" i="5"/>
  <c r="F3" i="5"/>
  <c r="G22" i="5"/>
  <c r="T50" i="5"/>
  <c r="T98" i="5" s="1"/>
  <c r="H20" i="6" s="1"/>
  <c r="U50" i="5"/>
  <c r="P79" i="5"/>
  <c r="AF46" i="5"/>
  <c r="F43" i="5"/>
  <c r="D43" i="5"/>
  <c r="L43" i="5"/>
  <c r="G42" i="5"/>
  <c r="M41" i="5"/>
  <c r="L41" i="5"/>
  <c r="U32" i="5"/>
  <c r="Y30" i="5"/>
  <c r="L30" i="5"/>
  <c r="D26" i="5"/>
  <c r="G13" i="5"/>
  <c r="E86" i="5"/>
  <c r="P74" i="5"/>
  <c r="N72" i="5"/>
  <c r="J72" i="5"/>
  <c r="Q73" i="5"/>
  <c r="Z69" i="5"/>
  <c r="Z99" i="5" s="1"/>
  <c r="K26" i="4" s="1"/>
  <c r="M26" i="4" s="1"/>
  <c r="U61" i="5"/>
  <c r="D53" i="5"/>
  <c r="N52" i="5"/>
  <c r="I50" i="5"/>
  <c r="H42" i="5"/>
  <c r="F42" i="5"/>
  <c r="I42" i="5"/>
  <c r="X42" i="5"/>
  <c r="D33" i="5"/>
  <c r="V32" i="5"/>
  <c r="N32" i="5"/>
  <c r="J32" i="5"/>
  <c r="D30" i="5"/>
  <c r="N28" i="5"/>
  <c r="D8" i="5"/>
  <c r="AG98" i="5"/>
  <c r="AG99" i="5"/>
  <c r="AE98" i="5"/>
  <c r="AE99" i="5"/>
  <c r="S17" i="5"/>
  <c r="K78" i="5"/>
  <c r="L42" i="5"/>
  <c r="Q20" i="5"/>
  <c r="Z98" i="5"/>
  <c r="H28" i="6" s="1"/>
  <c r="C94" i="5"/>
  <c r="Y19" i="5"/>
  <c r="D63" i="5"/>
  <c r="Q28" i="5"/>
  <c r="C19" i="5"/>
  <c r="AB42" i="5"/>
  <c r="R20" i="5"/>
  <c r="F28" i="5"/>
  <c r="V19" i="5"/>
  <c r="V68" i="5"/>
  <c r="AF14" i="5"/>
  <c r="X14" i="5"/>
  <c r="N5" i="5"/>
  <c r="F5" i="5"/>
  <c r="M76" i="5"/>
  <c r="C76" i="5"/>
  <c r="I28" i="6"/>
  <c r="H69" i="5"/>
  <c r="Y69" i="5"/>
  <c r="D69" i="5"/>
  <c r="F53" i="5"/>
  <c r="H53" i="5"/>
  <c r="F52" i="5"/>
  <c r="G44" i="5"/>
  <c r="P39" i="5"/>
  <c r="M35" i="5"/>
  <c r="L35" i="5"/>
  <c r="J31" i="5"/>
  <c r="D14" i="5"/>
  <c r="K14" i="5"/>
  <c r="Q13" i="5"/>
  <c r="L5" i="5"/>
  <c r="H5" i="5"/>
  <c r="J5" i="5"/>
  <c r="M95" i="5"/>
  <c r="S91" i="5"/>
  <c r="U91" i="5"/>
  <c r="Q91" i="5"/>
  <c r="N91" i="5"/>
  <c r="AF69" i="5"/>
  <c r="AF63" i="5"/>
  <c r="M63" i="5"/>
  <c r="L55" i="5"/>
  <c r="V54" i="5"/>
  <c r="R54" i="5"/>
  <c r="AB39" i="5"/>
  <c r="J37" i="5"/>
  <c r="V31" i="5"/>
  <c r="N13" i="5"/>
  <c r="AI98" i="5"/>
  <c r="D5" i="5"/>
  <c r="W99" i="5"/>
  <c r="W98" i="5"/>
  <c r="AA98" i="5"/>
  <c r="AA99" i="5"/>
  <c r="L21" i="4"/>
  <c r="C4" i="3"/>
  <c r="AD98" i="5"/>
  <c r="AD99" i="5"/>
  <c r="AC99" i="5"/>
  <c r="AC98" i="5"/>
  <c r="O98" i="5"/>
  <c r="O99" i="5"/>
  <c r="L29" i="4"/>
  <c r="C15" i="9"/>
  <c r="L3" i="4"/>
  <c r="C14" i="1"/>
  <c r="C10" i="2"/>
  <c r="L14" i="4"/>
  <c r="E98" i="5" l="1"/>
  <c r="G98" i="5"/>
  <c r="H7" i="6" s="1"/>
  <c r="K99" i="5"/>
  <c r="K11" i="4" s="1"/>
  <c r="M11" i="4" s="1"/>
  <c r="C99" i="5"/>
  <c r="I3" i="6" s="1"/>
  <c r="T99" i="5"/>
  <c r="K20" i="4" s="1"/>
  <c r="M20" i="4" s="1"/>
  <c r="AB99" i="5"/>
  <c r="K28" i="4" s="1"/>
  <c r="M28" i="4" s="1"/>
  <c r="C98" i="5"/>
  <c r="S98" i="5"/>
  <c r="P99" i="5"/>
  <c r="G99" i="5"/>
  <c r="G100" i="5" s="1"/>
  <c r="J7" i="6" s="1"/>
  <c r="K7" i="6" s="1"/>
  <c r="X99" i="5"/>
  <c r="K24" i="4" s="1"/>
  <c r="M24" i="4" s="1"/>
  <c r="R98" i="5"/>
  <c r="I98" i="5"/>
  <c r="H9" i="6" s="1"/>
  <c r="I99" i="5"/>
  <c r="I9" i="6" s="1"/>
  <c r="U99" i="5"/>
  <c r="I21" i="6" s="1"/>
  <c r="U98" i="5"/>
  <c r="U100" i="5" s="1"/>
  <c r="J21" i="6" s="1"/>
  <c r="K21" i="6" s="1"/>
  <c r="J98" i="5"/>
  <c r="H10" i="6" s="1"/>
  <c r="D99" i="5"/>
  <c r="K4" i="4" s="1"/>
  <c r="M4" i="4" s="1"/>
  <c r="V98" i="5"/>
  <c r="H24" i="6" s="1"/>
  <c r="V99" i="5"/>
  <c r="I24" i="6" s="1"/>
  <c r="Q98" i="5"/>
  <c r="H17" i="6" s="1"/>
  <c r="X98" i="5"/>
  <c r="H26" i="6" s="1"/>
  <c r="AF98" i="5"/>
  <c r="H34" i="6" s="1"/>
  <c r="R99" i="5"/>
  <c r="K18" i="4" s="1"/>
  <c r="M18" i="4" s="1"/>
  <c r="N98" i="5"/>
  <c r="H14" i="6" s="1"/>
  <c r="D98" i="5"/>
  <c r="H33" i="6"/>
  <c r="AE100" i="5"/>
  <c r="J33" i="6" s="1"/>
  <c r="K33" i="6" s="1"/>
  <c r="P98" i="5"/>
  <c r="S99" i="5"/>
  <c r="Q99" i="5"/>
  <c r="K17" i="4" s="1"/>
  <c r="M17" i="4" s="1"/>
  <c r="K3" i="4"/>
  <c r="M3" i="4" s="1"/>
  <c r="F98" i="5"/>
  <c r="H6" i="6" s="1"/>
  <c r="Z100" i="5"/>
  <c r="J28" i="6" s="1"/>
  <c r="K28" i="6" s="1"/>
  <c r="K33" i="4"/>
  <c r="M33" i="4" s="1"/>
  <c r="I35" i="6"/>
  <c r="I33" i="6"/>
  <c r="K31" i="4"/>
  <c r="M31" i="4" s="1"/>
  <c r="M98" i="5"/>
  <c r="H13" i="6" s="1"/>
  <c r="H35" i="6"/>
  <c r="AG100" i="5"/>
  <c r="J35" i="6" s="1"/>
  <c r="K35" i="6" s="1"/>
  <c r="L98" i="5"/>
  <c r="H12" i="6" s="1"/>
  <c r="M99" i="5"/>
  <c r="I13" i="6" s="1"/>
  <c r="AF99" i="5"/>
  <c r="K32" i="4" s="1"/>
  <c r="M32" i="4" s="1"/>
  <c r="H99" i="5"/>
  <c r="I8" i="6" s="1"/>
  <c r="Y99" i="5"/>
  <c r="Y98" i="5"/>
  <c r="L99" i="5"/>
  <c r="F99" i="5"/>
  <c r="AB98" i="5"/>
  <c r="J99" i="5"/>
  <c r="I10" i="6" s="1"/>
  <c r="K98" i="5"/>
  <c r="H11" i="6" s="1"/>
  <c r="N99" i="5"/>
  <c r="H98" i="5"/>
  <c r="H8" i="6" s="1"/>
  <c r="C100" i="5"/>
  <c r="J3" i="6" s="1"/>
  <c r="K3" i="6" s="1"/>
  <c r="H3" i="6"/>
  <c r="I20" i="6"/>
  <c r="K15" i="4"/>
  <c r="M15" i="4" s="1"/>
  <c r="I15" i="6"/>
  <c r="K30" i="4"/>
  <c r="M30" i="4" s="1"/>
  <c r="I32" i="6"/>
  <c r="I5" i="6"/>
  <c r="K5" i="4"/>
  <c r="M5" i="4" s="1"/>
  <c r="I25" i="6"/>
  <c r="K23" i="4"/>
  <c r="M23" i="4" s="1"/>
  <c r="K16" i="4"/>
  <c r="M16" i="4" s="1"/>
  <c r="I16" i="6"/>
  <c r="H19" i="6"/>
  <c r="I29" i="6"/>
  <c r="K27" i="4"/>
  <c r="M27" i="4" s="1"/>
  <c r="H15" i="6"/>
  <c r="O100" i="5"/>
  <c r="J15" i="6" s="1"/>
  <c r="K15" i="6" s="1"/>
  <c r="H29" i="6"/>
  <c r="AA100" i="5"/>
  <c r="J29" i="6" s="1"/>
  <c r="K29" i="6" s="1"/>
  <c r="H25" i="6"/>
  <c r="W100" i="5"/>
  <c r="J25" i="6" s="1"/>
  <c r="K25" i="6" s="1"/>
  <c r="H31" i="6"/>
  <c r="AC100" i="5"/>
  <c r="J31" i="6" s="1"/>
  <c r="K31" i="6" s="1"/>
  <c r="I26" i="6"/>
  <c r="I31" i="6"/>
  <c r="K29" i="4"/>
  <c r="M29" i="4" s="1"/>
  <c r="AD100" i="5"/>
  <c r="J32" i="6" s="1"/>
  <c r="K32" i="6" s="1"/>
  <c r="H32" i="6"/>
  <c r="E100" i="5"/>
  <c r="J5" i="6" s="1"/>
  <c r="K5" i="6" s="1"/>
  <c r="H5" i="6"/>
  <c r="I34" i="6" l="1"/>
  <c r="I11" i="6"/>
  <c r="R100" i="5"/>
  <c r="J18" i="6" s="1"/>
  <c r="K18" i="6" s="1"/>
  <c r="I7" i="6"/>
  <c r="I100" i="5"/>
  <c r="J9" i="6" s="1"/>
  <c r="K9" i="6" s="1"/>
  <c r="H18" i="6"/>
  <c r="I18" i="6"/>
  <c r="P100" i="5"/>
  <c r="J16" i="6" s="1"/>
  <c r="K16" i="6" s="1"/>
  <c r="I30" i="6"/>
  <c r="AB100" i="5"/>
  <c r="J30" i="6" s="1"/>
  <c r="K30" i="6" s="1"/>
  <c r="T100" i="5"/>
  <c r="J20" i="6" s="1"/>
  <c r="K20" i="6" s="1"/>
  <c r="K7" i="4"/>
  <c r="M7" i="4" s="1"/>
  <c r="K21" i="4"/>
  <c r="M21" i="4" s="1"/>
  <c r="K9" i="4"/>
  <c r="M9" i="4" s="1"/>
  <c r="H21" i="6"/>
  <c r="S100" i="5"/>
  <c r="J19" i="6" s="1"/>
  <c r="K19" i="6" s="1"/>
  <c r="D100" i="5"/>
  <c r="J4" i="6" s="1"/>
  <c r="K4" i="6" s="1"/>
  <c r="H16" i="6"/>
  <c r="V100" i="5"/>
  <c r="J24" i="6" s="1"/>
  <c r="K24" i="6" s="1"/>
  <c r="K22" i="4"/>
  <c r="M22" i="4" s="1"/>
  <c r="I4" i="6"/>
  <c r="X100" i="5"/>
  <c r="J26" i="6" s="1"/>
  <c r="K26" i="6" s="1"/>
  <c r="H4" i="6"/>
  <c r="M100" i="5"/>
  <c r="J13" i="6" s="1"/>
  <c r="K13" i="6" s="1"/>
  <c r="K10" i="4"/>
  <c r="M10" i="4" s="1"/>
  <c r="Q100" i="5"/>
  <c r="J17" i="6" s="1"/>
  <c r="K17" i="6" s="1"/>
  <c r="AF100" i="5"/>
  <c r="J34" i="6" s="1"/>
  <c r="K34" i="6" s="1"/>
  <c r="N100" i="5"/>
  <c r="J14" i="6" s="1"/>
  <c r="K14" i="6" s="1"/>
  <c r="I19" i="6"/>
  <c r="I14" i="6"/>
  <c r="K14" i="4"/>
  <c r="M14" i="4" s="1"/>
  <c r="K19" i="4"/>
  <c r="M19" i="4" s="1"/>
  <c r="H30" i="6"/>
  <c r="I17" i="6"/>
  <c r="J100" i="5"/>
  <c r="J10" i="6" s="1"/>
  <c r="K10" i="6" s="1"/>
  <c r="K13" i="4"/>
  <c r="M13" i="4" s="1"/>
  <c r="K100" i="5"/>
  <c r="J11" i="6" s="1"/>
  <c r="K11" i="6" s="1"/>
  <c r="K8" i="4"/>
  <c r="M8" i="4" s="1"/>
  <c r="H27" i="6"/>
  <c r="Y100" i="5"/>
  <c r="J27" i="6" s="1"/>
  <c r="K27" i="6" s="1"/>
  <c r="I27" i="6"/>
  <c r="K25" i="4"/>
  <c r="M25" i="4" s="1"/>
  <c r="H100" i="5"/>
  <c r="J8" i="6" s="1"/>
  <c r="K8" i="6" s="1"/>
  <c r="L100" i="5"/>
  <c r="J12" i="6" s="1"/>
  <c r="K12" i="6" s="1"/>
  <c r="I12" i="6"/>
  <c r="K12" i="4"/>
  <c r="M12" i="4" s="1"/>
  <c r="K6" i="4"/>
  <c r="M6" i="4" s="1"/>
  <c r="I6" i="6"/>
  <c r="F100" i="5"/>
  <c r="J6" i="6" s="1"/>
  <c r="K6" i="6" s="1"/>
</calcChain>
</file>

<file path=xl/sharedStrings.xml><?xml version="1.0" encoding="utf-8"?>
<sst xmlns="http://schemas.openxmlformats.org/spreadsheetml/2006/main" count="1599" uniqueCount="279">
  <si>
    <t>Número</t>
  </si>
  <si>
    <t>Síntoma</t>
  </si>
  <si>
    <t>Si (x)</t>
  </si>
  <si>
    <t>No (x)</t>
  </si>
  <si>
    <t>Nutriente</t>
  </si>
  <si>
    <t>Síntomas Calculados</t>
  </si>
  <si>
    <t>Max Sintomas</t>
  </si>
  <si>
    <t>Racio % Calculado</t>
  </si>
  <si>
    <t>Necesidades</t>
  </si>
  <si>
    <t>Datos personales</t>
  </si>
  <si>
    <t>Acné</t>
  </si>
  <si>
    <t>Vitamina A</t>
  </si>
  <si>
    <t>Marcar con una cruz en caso de SI o NO</t>
  </si>
  <si>
    <t>Aftas o cistitis</t>
  </si>
  <si>
    <t>Vitamina B1</t>
  </si>
  <si>
    <t>Ansiedad o tensión</t>
  </si>
  <si>
    <t>Vitamina B2</t>
  </si>
  <si>
    <t>NOMBRE</t>
  </si>
  <si>
    <t>Apatía</t>
  </si>
  <si>
    <t>Vitamina B3</t>
  </si>
  <si>
    <t>Ardor en los pies o tobillos sensibles</t>
  </si>
  <si>
    <t>Vitamina B6</t>
  </si>
  <si>
    <t>Latidos del corazón rápidos o irregulares</t>
  </si>
  <si>
    <t>Vitamina B12</t>
  </si>
  <si>
    <t>SEXO</t>
  </si>
  <si>
    <t>Boca hipersensible al calor o al frío</t>
  </si>
  <si>
    <t>Vitamina C</t>
  </si>
  <si>
    <t>Cabello en mal estado</t>
  </si>
  <si>
    <t>Vitamina D</t>
  </si>
  <si>
    <t>Cabello seco</t>
  </si>
  <si>
    <t>Vitamina E</t>
  </si>
  <si>
    <t>EDAD</t>
  </si>
  <si>
    <t>Cabello opaco o graso</t>
  </si>
  <si>
    <t>Ácido Fólico</t>
  </si>
  <si>
    <t>Calambres o temblores</t>
  </si>
  <si>
    <t>Biotina</t>
  </si>
  <si>
    <t>Cansancio después de un ejercicio ligero</t>
  </si>
  <si>
    <t>Cálcio</t>
  </si>
  <si>
    <t>PATOLOGÍAS | OTROS SÍNTOMAS ESPECÍFICOS</t>
  </si>
  <si>
    <t>Caries</t>
  </si>
  <si>
    <t>Crómio</t>
  </si>
  <si>
    <t>Caspa</t>
  </si>
  <si>
    <t>Ferro</t>
  </si>
  <si>
    <t>Cataratas</t>
  </si>
  <si>
    <t>Magnésio</t>
  </si>
  <si>
    <t>Cicatrización lenta</t>
  </si>
  <si>
    <t>Manganésio</t>
  </si>
  <si>
    <t>Resfriados frecuentes</t>
  </si>
  <si>
    <t>Selénio</t>
  </si>
  <si>
    <t>Contracciones musculares</t>
  </si>
  <si>
    <t>Zinco</t>
  </si>
  <si>
    <t>Crisis o convulsiones</t>
  </si>
  <si>
    <t>Ómegas 3 e 6</t>
  </si>
  <si>
    <t>Depresión</t>
  </si>
  <si>
    <t>Dermatitis</t>
  </si>
  <si>
    <t>Suplemento Específico</t>
  </si>
  <si>
    <t>Sintomas Calculados</t>
  </si>
  <si>
    <t>Necessidade</t>
  </si>
  <si>
    <t>Diarrea</t>
  </si>
  <si>
    <t>Alho</t>
  </si>
  <si>
    <t>Dificultad para recordar los sueños</t>
  </si>
  <si>
    <t>Black Cohosh</t>
  </si>
  <si>
    <t>MEDICACACIÓN ACTUAL</t>
  </si>
  <si>
    <t>Dificultad para concentrarse</t>
  </si>
  <si>
    <t>Coenzima Q10</t>
  </si>
  <si>
    <t>NOMBRE MEDICAMENTO</t>
  </si>
  <si>
    <t>FUNCIÓN DEL MEDICAMENTO</t>
  </si>
  <si>
    <t>Olfato o gusto disminuido</t>
  </si>
  <si>
    <t>Concentrado de Frutas e Vegetais</t>
  </si>
  <si>
    <t>Dolores de cabeza o migrañas</t>
  </si>
  <si>
    <t>Fibra em Pó</t>
  </si>
  <si>
    <t>Dolores de crecimiento durante la infancia</t>
  </si>
  <si>
    <t>Fibra Mastigável</t>
  </si>
  <si>
    <t>Dolores de estómago</t>
  </si>
  <si>
    <t>Ginseng Siberiano Plus</t>
  </si>
  <si>
    <t>Dolor de espalda</t>
  </si>
  <si>
    <t>Glucosamina com Boswellia</t>
  </si>
  <si>
    <t>Dolor en las articulaciones, enfermedades inflamatorias (por ejemplo artritis) o rigidez</t>
  </si>
  <si>
    <t>Mirtilo com Luteína</t>
  </si>
  <si>
    <t>Dolores en los ojos</t>
  </si>
  <si>
    <t>Primrose Plus</t>
  </si>
  <si>
    <t>Eczema</t>
  </si>
  <si>
    <t>Proteína 100% Vegetal</t>
  </si>
  <si>
    <t>Pelo canoso prematuro</t>
  </si>
  <si>
    <t>Saw Palmetto e raiz de urtiga</t>
  </si>
  <si>
    <t>Manchas faciales (oscuras)</t>
  </si>
  <si>
    <t>RECOMENDACION NUTRILITE</t>
  </si>
  <si>
    <t>Espasmos musculares</t>
  </si>
  <si>
    <t>NOMBRE NUTRILITE</t>
  </si>
  <si>
    <t>FUNCION SUPLEMENTO</t>
  </si>
  <si>
    <t>Estrías</t>
  </si>
  <si>
    <t>Fatiga / somnolencia</t>
  </si>
  <si>
    <t>Falta de deseo sexual</t>
  </si>
  <si>
    <t>Falta de apetito</t>
  </si>
  <si>
    <t>Falta de energía</t>
  </si>
  <si>
    <t>Deterioro de la memoria</t>
  </si>
  <si>
    <t>Hormigueo en manos</t>
  </si>
  <si>
    <t>Hormigueo en las piernas</t>
  </si>
  <si>
    <t>Debilidad muscular</t>
  </si>
  <si>
    <t>Sangrado Gengivi o sensible</t>
  </si>
  <si>
    <t>Hemorragia nasal</t>
  </si>
  <si>
    <t>Antecedentes familiares de cáncer</t>
  </si>
  <si>
    <t>infecciones frecuentes</t>
  </si>
  <si>
    <t>Esterilidad</t>
  </si>
  <si>
    <t>Insomnio</t>
  </si>
  <si>
    <t>Irritabilidad</t>
  </si>
  <si>
    <t>Dolor en las rodillas</t>
  </si>
  <si>
    <t>Labios agrietados</t>
  </si>
  <si>
    <t>Manchas blancas en las uñas</t>
  </si>
  <si>
    <t>Manchas rojas en la piel</t>
  </si>
  <si>
    <t>Manos frías</t>
  </si>
  <si>
    <t>Mal funcionamiento del tracto reproductivo (hombre)</t>
  </si>
  <si>
    <t>Funciones urinarias anormales (hombre)</t>
  </si>
  <si>
    <t>Debilidad de la memoria o problemas de aprendizaje</t>
  </si>
  <si>
    <t>Menopausia (sofocos, sudoración espontánea, cambios de humor)</t>
  </si>
  <si>
    <t>Músculos doloridos o sensibles</t>
  </si>
  <si>
    <t>Náuseas o vómitos</t>
  </si>
  <si>
    <t>Necesidad de dormir / somnolencia durante el día</t>
  </si>
  <si>
    <t>Necesidad de comer con frecuencia</t>
  </si>
  <si>
    <t>Nerviosismo</t>
  </si>
  <si>
    <t>Alto nivel de grasas en la sangre (colesterol)</t>
  </si>
  <si>
    <t>Estreñimiento</t>
  </si>
  <si>
    <t>Ojos hinchados, con sensación de quemazón y la presencia de cuerpos extraños (por ejemplo. Arena)</t>
  </si>
  <si>
    <t>Ojos secos</t>
  </si>
  <si>
    <t>Debilidad en los huesos</t>
  </si>
  <si>
    <t>Osteoporosis</t>
  </si>
  <si>
    <t>Palidez</t>
  </si>
  <si>
    <t>Piel grasa</t>
  </si>
  <si>
    <t>Piel seca y escamosa</t>
  </si>
  <si>
    <t>Pérdida de los dientes</t>
  </si>
  <si>
    <t>Pérdida del tono muscular</t>
  </si>
  <si>
    <t>Ciclos menstruales largos, pérdida de sangre oscura / con coágulos</t>
  </si>
  <si>
    <t>Baja elasticidad de la piel</t>
  </si>
  <si>
    <t>Problemas de la próstata (hombre)</t>
  </si>
  <si>
    <t>Pérdida del cabello</t>
  </si>
  <si>
    <t>Rechinar los dientes</t>
  </si>
  <si>
    <t>Retención de líquidos</t>
  </si>
  <si>
    <t>Sed constante</t>
  </si>
  <si>
    <t>Sensibilidad a la luz</t>
  </si>
  <si>
    <t>Sensibilidad en el pecho</t>
  </si>
  <si>
    <t>Signos de envejecimiento prematuro</t>
  </si>
  <si>
    <t>Síndrome premenstrual y / o con dolor en el pecho</t>
  </si>
  <si>
    <t>Sudor excesivo o frío</t>
  </si>
  <si>
    <t>Tensión arterial alta</t>
  </si>
  <si>
    <t>Mareos o irritabilidad después de 6 horas sin comida</t>
  </si>
  <si>
    <t>Mareos o sensación de precariamente</t>
  </si>
  <si>
    <t>Lesiones en la boca o en la lengua</t>
  </si>
  <si>
    <t>Uñas quebradizas</t>
  </si>
  <si>
    <t>Varices</t>
  </si>
  <si>
    <t>Mala visión nocturna</t>
  </si>
  <si>
    <t>Os resultados têm base cientificamente fundamentada por Patrick Holford (especialista mundial em Nutrição &amp; Assessor de Nutrição e Saúde) – “Biblia da Alimentação”. O ficheiro foi elaborado pelo especialista em Nutrição e na Nutrilite Pedro Pereira em conjunto com Dra Filipa Vicente (Nutricionista Doutoranda na Faculdade de Barcelona em Nutrição Desportiva), Luis Collantes (especialista em Nutrição e um dos maiores especialistas mundiais da Nutrilite) e Dr Dario Sanchez (médico Nutrilite do Nutrilite Health Institute).</t>
  </si>
  <si>
    <t>Sintoma</t>
  </si>
  <si>
    <t>Input</t>
  </si>
  <si>
    <t>Total</t>
  </si>
  <si>
    <t>Max</t>
  </si>
  <si>
    <t>Ratio</t>
  </si>
  <si>
    <t>Legenda Tabela</t>
  </si>
  <si>
    <t>Imput Automático</t>
  </si>
  <si>
    <t>Sem Imput</t>
  </si>
  <si>
    <t>Legenda Resultados</t>
  </si>
  <si>
    <t>Necessidade OK = 0%</t>
  </si>
  <si>
    <t>Necessidade entre 0 a 30%</t>
  </si>
  <si>
    <t>Necessidade entre 30% a 100%</t>
  </si>
  <si>
    <t>Micronutriente</t>
  </si>
  <si>
    <t>Sintomas (Duplicação)</t>
  </si>
  <si>
    <t>Sintomas</t>
  </si>
  <si>
    <t>Micronutriente (NEW)</t>
  </si>
  <si>
    <t>Número de Sintomas</t>
  </si>
  <si>
    <t>Crosscheck T. de Resultados</t>
  </si>
  <si>
    <t>Diferença</t>
  </si>
  <si>
    <t>Acne</t>
  </si>
  <si>
    <t>Vitamina B1 (Tiamina)</t>
  </si>
  <si>
    <t>Aftas ou cistite</t>
  </si>
  <si>
    <t>Vitamina B3 (Niacina)</t>
  </si>
  <si>
    <t>Vitamina B2 (Riboflavina)</t>
  </si>
  <si>
    <t>Ansiedade ou tensão</t>
  </si>
  <si>
    <t>Apatia</t>
  </si>
  <si>
    <t>Vitamina B6 (Piridoxina)</t>
  </si>
  <si>
    <t>Ardor nos pés ou tornozelos sensíveis</t>
  </si>
  <si>
    <t>Ácido Fólico (Vitamina B9)</t>
  </si>
  <si>
    <t>Vitamina B12 (Cobalamina)</t>
  </si>
  <si>
    <t>Batimentos cardíacos irregulares ou rápidos</t>
  </si>
  <si>
    <t>Vitamina C (Ácido Ascórbico)</t>
  </si>
  <si>
    <t>Boca hipersensível ao calor ou frio</t>
  </si>
  <si>
    <t>Cabelo em mau estado</t>
  </si>
  <si>
    <t>Vitamina E (Tocoferol)</t>
  </si>
  <si>
    <t>Cabelo seco</t>
  </si>
  <si>
    <t>Cabelo sem brilho ou oleoso</t>
  </si>
  <si>
    <t>Cãibras e tremores</t>
  </si>
  <si>
    <t>Cansaço após exercicio leve</t>
  </si>
  <si>
    <t>Cáries</t>
  </si>
  <si>
    <t>Cicatrização lenta</t>
  </si>
  <si>
    <t>Constipações frequentes</t>
  </si>
  <si>
    <t>Contracções musculares</t>
  </si>
  <si>
    <t>Ómega 3 e Ómega 6</t>
  </si>
  <si>
    <t>Crises ou convulsões</t>
  </si>
  <si>
    <t>Depressão</t>
  </si>
  <si>
    <t>Dermatite</t>
  </si>
  <si>
    <t>Diarreia</t>
  </si>
  <si>
    <t>Dificuldade em recordar os sonhos</t>
  </si>
  <si>
    <t>Dificuldades de concentração</t>
  </si>
  <si>
    <t>Diminuição do paladar ou do olfacto</t>
  </si>
  <si>
    <t>Dores de cabeça ou enxaquecas</t>
  </si>
  <si>
    <t>Dores de crescimento na infância</t>
  </si>
  <si>
    <t>Dores de estômago</t>
  </si>
  <si>
    <t>Dores lombares</t>
  </si>
  <si>
    <t>Dores nas articulações, problemas inflamatórios (ex: artrite) ou rigidez</t>
  </si>
  <si>
    <t>Dores nos olhos</t>
  </si>
  <si>
    <t>Embranquecimento prematuro dos cabelos</t>
  </si>
  <si>
    <t>Equimoses fáceis (Nódoas Negras)</t>
  </si>
  <si>
    <t>Estrias</t>
  </si>
  <si>
    <t>Fadiga ou moleza</t>
  </si>
  <si>
    <t>Falta de apetência sexual</t>
  </si>
  <si>
    <t>Falta de apetite</t>
  </si>
  <si>
    <t>Falta de energia</t>
  </si>
  <si>
    <t>Falta de memória</t>
  </si>
  <si>
    <t>Formigueiro nas mãos</t>
  </si>
  <si>
    <t>Formigueiro nas pernas</t>
  </si>
  <si>
    <t>Fraqueza muscular</t>
  </si>
  <si>
    <t>Gengivas em sangue ou sensíveis</t>
  </si>
  <si>
    <t>Hemorragias nasais</t>
  </si>
  <si>
    <t>História familiar de cancro</t>
  </si>
  <si>
    <t>Infecções frequentes</t>
  </si>
  <si>
    <t>Infertilidade</t>
  </si>
  <si>
    <t>Insónias</t>
  </si>
  <si>
    <t>Irritabilidade</t>
  </si>
  <si>
    <t>Joelhos doridos</t>
  </si>
  <si>
    <t>Lábios gretados</t>
  </si>
  <si>
    <t>Manchas brancas em mais do que 2 unhas</t>
  </si>
  <si>
    <t>Manchas vermelhas na pele</t>
  </si>
  <si>
    <t>Mãos frias</t>
  </si>
  <si>
    <t>Mau funcionamento reprodutor (homem)</t>
  </si>
  <si>
    <t>Função urinária anormal (homem)</t>
  </si>
  <si>
    <t>Memória fraca ou dificuldades de aprendizagem</t>
  </si>
  <si>
    <t>Menopausa (afrontamentos, suores espontâneos, mudanças de humor)</t>
  </si>
  <si>
    <t>Músculos sensíveis ou doridos</t>
  </si>
  <si>
    <t>Náusea ou vómitos</t>
  </si>
  <si>
    <t>Necessidade de dormir de mais ou sonolência durante o dia</t>
  </si>
  <si>
    <t>Necessidade de refeições frequentes</t>
  </si>
  <si>
    <t>Nervosismo</t>
  </si>
  <si>
    <t>Nível elevado de lípidos no sangue (Colesterol)</t>
  </si>
  <si>
    <t>Obstipação</t>
  </si>
  <si>
    <t>Olhos inchados, com ardor ou com sensação de grãos de areia</t>
  </si>
  <si>
    <t>Olhos secos</t>
  </si>
  <si>
    <t>Ossos fracos</t>
  </si>
  <si>
    <t>Osteoporose</t>
  </si>
  <si>
    <t>Pele oleosa</t>
  </si>
  <si>
    <t>Pele seca e escamosa</t>
  </si>
  <si>
    <t>Perda de dentes</t>
  </si>
  <si>
    <t>Perda de tónus muscular</t>
  </si>
  <si>
    <t>Períodos menstruais longos, perdas de sangue, escuro e / ou com coágulos</t>
  </si>
  <si>
    <t>Pouca elasticidade da pele</t>
  </si>
  <si>
    <t>Problemas na Próstata (homem)</t>
  </si>
  <si>
    <t>Queda de cabelo</t>
  </si>
  <si>
    <t>Ranger dos dentes</t>
  </si>
  <si>
    <t>Retenção de líquidos</t>
  </si>
  <si>
    <t>Sede constante</t>
  </si>
  <si>
    <t>Sensibilidade a luzes intensas</t>
  </si>
  <si>
    <t>Sensibilidade no peito</t>
  </si>
  <si>
    <t>Sinais de envelhecimento prematuro</t>
  </si>
  <si>
    <t>Sindrome pré menstrual e / ou com dores no peito</t>
  </si>
  <si>
    <t>Suores excessivos ou frios</t>
  </si>
  <si>
    <t>Tensão arterial elevada</t>
  </si>
  <si>
    <t>Tonturas ou irritabilidade ao cabo de seis horas sem comida</t>
  </si>
  <si>
    <t>Tonturas ou fraco sentido de equilíbrio</t>
  </si>
  <si>
    <t>Ulcerações na boca e língua</t>
  </si>
  <si>
    <t>Unhas quebradiças</t>
  </si>
  <si>
    <t>Varizes</t>
  </si>
  <si>
    <t>Visão nocturna deficiente</t>
  </si>
  <si>
    <t>Melhorar função urinária anormal no homem</t>
  </si>
  <si>
    <t>Vitamina</t>
  </si>
  <si>
    <t>Pontuação</t>
  </si>
  <si>
    <t>Insónias ou nervosismo</t>
  </si>
  <si>
    <t>Minerais</t>
  </si>
  <si>
    <t>Ácidos Gordos</t>
  </si>
  <si>
    <t>Cabelo seco ou caspa</t>
  </si>
  <si>
    <t>Suplementos Adicionais</t>
  </si>
  <si>
    <t>Prevenção ou tratamento de problemas na próstata</t>
  </si>
  <si>
    <t>Melhorar função reprodutora no homem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</si>
</sst>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5" xfId="0" applyFont="1" applyBorder="1"/>
    <xf numFmtId="0" fontId="2" fillId="0" borderId="2" xfId="0" applyFont="1" applyBorder="1" applyAlignment="1">
      <alignment horizontal="center"/>
    </xf>
    <xf numFmtId="0" fontId="3" fillId="0" borderId="16" xfId="0" applyFont="1" applyBorder="1"/>
    <xf numFmtId="0" fontId="2" fillId="0" borderId="3" xfId="0" applyFont="1" applyBorder="1" applyAlignment="1">
      <alignment horizontal="center"/>
    </xf>
    <xf numFmtId="0" fontId="3" fillId="0" borderId="17" xfId="0" applyFont="1" applyBorder="1"/>
    <xf numFmtId="0" fontId="2" fillId="0" borderId="6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4" borderId="30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3" borderId="2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3" borderId="28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39" xfId="0" applyFont="1" applyFill="1" applyBorder="1"/>
    <xf numFmtId="0" fontId="3" fillId="0" borderId="40" xfId="0" applyFont="1" applyBorder="1"/>
    <xf numFmtId="0" fontId="3" fillId="0" borderId="41" xfId="0" applyFont="1" applyBorder="1"/>
    <xf numFmtId="0" fontId="3" fillId="0" borderId="34" xfId="0" applyFont="1" applyBorder="1"/>
    <xf numFmtId="0" fontId="2" fillId="4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42" xfId="0" applyFont="1" applyBorder="1"/>
    <xf numFmtId="0" fontId="3" fillId="0" borderId="3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2" fillId="4" borderId="8" xfId="0" applyFont="1" applyFill="1" applyBorder="1"/>
    <xf numFmtId="0" fontId="3" fillId="0" borderId="43" xfId="0" applyFont="1" applyBorder="1"/>
    <xf numFmtId="0" fontId="3" fillId="0" borderId="44" xfId="0" applyFont="1" applyBorder="1"/>
    <xf numFmtId="0" fontId="3" fillId="0" borderId="35" xfId="0" applyFont="1" applyBorder="1"/>
    <xf numFmtId="0" fontId="4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3" fillId="0" borderId="45" xfId="0" applyFont="1" applyBorder="1"/>
    <xf numFmtId="0" fontId="3" fillId="0" borderId="5" xfId="0" applyFont="1" applyBorder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3" fillId="5" borderId="41" xfId="0" applyFont="1" applyFill="1" applyBorder="1"/>
    <xf numFmtId="0" fontId="3" fillId="5" borderId="34" xfId="0" applyFont="1" applyFill="1" applyBorder="1"/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/>
    <xf numFmtId="0" fontId="3" fillId="5" borderId="46" xfId="0" applyFont="1" applyFill="1" applyBorder="1"/>
    <xf numFmtId="0" fontId="3" fillId="5" borderId="9" xfId="0" applyFont="1" applyFill="1" applyBorder="1"/>
    <xf numFmtId="0" fontId="3" fillId="5" borderId="6" xfId="0" applyFont="1" applyFill="1" applyBorder="1"/>
    <xf numFmtId="0" fontId="4" fillId="3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30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9" fontId="2" fillId="0" borderId="49" xfId="1" applyFont="1" applyBorder="1" applyAlignment="1">
      <alignment horizontal="center" vertical="center"/>
    </xf>
    <xf numFmtId="9" fontId="2" fillId="0" borderId="37" xfId="1" applyFont="1" applyBorder="1" applyAlignment="1">
      <alignment horizontal="center" vertical="center"/>
    </xf>
    <xf numFmtId="9" fontId="2" fillId="0" borderId="38" xfId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/>
    </xf>
    <xf numFmtId="0" fontId="2" fillId="3" borderId="52" xfId="0" applyFont="1" applyFill="1" applyBorder="1" applyAlignment="1">
      <alignment horizontal="center"/>
    </xf>
    <xf numFmtId="0" fontId="2" fillId="3" borderId="51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54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9" fontId="2" fillId="0" borderId="55" xfId="1" applyFont="1" applyBorder="1" applyAlignment="1">
      <alignment horizontal="center" vertical="center"/>
    </xf>
    <xf numFmtId="0" fontId="2" fillId="2" borderId="56" xfId="0" applyFont="1" applyFill="1" applyBorder="1" applyAlignment="1">
      <alignment horizontal="center"/>
    </xf>
    <xf numFmtId="0" fontId="2" fillId="0" borderId="42" xfId="0" applyFont="1" applyBorder="1" applyAlignment="1">
      <alignment horizontal="center" vertical="center"/>
    </xf>
    <xf numFmtId="9" fontId="2" fillId="0" borderId="36" xfId="1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9" fontId="2" fillId="0" borderId="2" xfId="1" applyFont="1" applyBorder="1" applyAlignment="1">
      <alignment horizontal="center"/>
    </xf>
    <xf numFmtId="9" fontId="2" fillId="0" borderId="3" xfId="1" applyFont="1" applyBorder="1" applyAlignment="1">
      <alignment horizontal="center"/>
    </xf>
    <xf numFmtId="9" fontId="2" fillId="0" borderId="6" xfId="1" applyFont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3" fillId="0" borderId="5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4" borderId="34" xfId="0" applyFont="1" applyFill="1" applyBorder="1"/>
    <xf numFmtId="0" fontId="2" fillId="4" borderId="6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2" fillId="6" borderId="30" xfId="0" applyFont="1" applyFill="1" applyBorder="1" applyAlignment="1">
      <alignment vertical="center"/>
    </xf>
    <xf numFmtId="0" fontId="3" fillId="7" borderId="46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3" fillId="7" borderId="41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7" borderId="34" xfId="0" applyFont="1" applyFill="1" applyBorder="1" applyAlignment="1">
      <alignment vertical="center"/>
    </xf>
    <xf numFmtId="0" fontId="3" fillId="7" borderId="6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16" xfId="0" applyFont="1" applyBorder="1" applyAlignment="1">
      <alignment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4" borderId="39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3" fillId="7" borderId="41" xfId="0" applyFont="1" applyFill="1" applyBorder="1" applyAlignment="1">
      <alignment horizontal="left" vertical="center"/>
    </xf>
    <xf numFmtId="0" fontId="3" fillId="7" borderId="44" xfId="0" applyFont="1" applyFill="1" applyBorder="1" applyAlignment="1">
      <alignment horizontal="left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4" fillId="4" borderId="39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2" fillId="3" borderId="39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6" borderId="58" xfId="0" applyFont="1" applyFill="1" applyBorder="1" applyAlignment="1">
      <alignment horizontal="left" vertical="center"/>
    </xf>
    <xf numFmtId="0" fontId="2" fillId="6" borderId="59" xfId="0" applyFont="1" applyFill="1" applyBorder="1" applyAlignment="1">
      <alignment horizontal="left" vertical="center"/>
    </xf>
    <xf numFmtId="0" fontId="3" fillId="7" borderId="46" xfId="0" applyFont="1" applyFill="1" applyBorder="1" applyAlignment="1">
      <alignment horizontal="left" vertical="center"/>
    </xf>
    <xf numFmtId="0" fontId="3" fillId="7" borderId="60" xfId="0" applyFont="1" applyFill="1" applyBorder="1" applyAlignment="1">
      <alignment horizontal="left" vertical="center"/>
    </xf>
    <xf numFmtId="0" fontId="3" fillId="7" borderId="39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left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E45E3A"/>
        </patternFill>
      </fill>
    </dxf>
    <dxf>
      <fill>
        <patternFill>
          <bgColor theme="7" tint="0.39994506668294322"/>
        </patternFill>
      </fill>
    </dxf>
    <dxf>
      <fill>
        <patternFill>
          <bgColor rgb="FFE45E3A"/>
        </patternFill>
      </fill>
    </dxf>
    <dxf>
      <fill>
        <patternFill>
          <bgColor theme="7" tint="0.39994506668294322"/>
        </patternFill>
      </fill>
    </dxf>
    <dxf>
      <fill>
        <patternFill>
          <bgColor rgb="FFE45E3A"/>
        </patternFill>
      </fill>
    </dxf>
    <dxf>
      <fill>
        <patternFill>
          <bgColor theme="7" tint="0.39994506668294322"/>
        </patternFill>
      </fill>
    </dxf>
    <dxf>
      <fill>
        <patternFill>
          <bgColor rgb="FFE45E3A"/>
        </patternFill>
      </fill>
    </dxf>
    <dxf>
      <fill>
        <patternFill>
          <bgColor theme="7" tint="0.39994506668294322"/>
        </patternFill>
      </fill>
    </dxf>
    <dxf>
      <fill>
        <patternFill>
          <bgColor rgb="FFE45E3A"/>
        </patternFill>
      </fill>
    </dxf>
    <dxf>
      <fill>
        <patternFill>
          <bgColor theme="7" tint="0.39994506668294322"/>
        </patternFill>
      </fill>
    </dxf>
    <dxf>
      <fill>
        <patternFill>
          <bgColor rgb="FFE45E3A"/>
        </patternFill>
      </fill>
    </dxf>
    <dxf>
      <fill>
        <patternFill>
          <bgColor theme="7" tint="0.39994506668294322"/>
        </patternFill>
      </fill>
    </dxf>
    <dxf>
      <fill>
        <patternFill>
          <bgColor rgb="FFE45E3A"/>
        </patternFill>
      </fill>
    </dxf>
  </dxfs>
  <tableStyles count="0" defaultTableStyle="TableStyleMedium2" defaultPivotStyle="PivotStyleLight16"/>
  <colors>
    <mruColors>
      <color rgb="FFE45E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theme="9" tint="0.39997558519241921"/>
  </sheetPr>
  <dimension ref="B1:N97"/>
  <sheetViews>
    <sheetView tabSelected="1" topLeftCell="B1" zoomScale="75" zoomScaleNormal="75" workbookViewId="0">
      <pane ySplit="2" topLeftCell="A3" activePane="bottomLeft" state="frozen"/>
      <selection pane="bottomLeft" activeCell="D28" sqref="D28"/>
    </sheetView>
  </sheetViews>
  <sheetFormatPr baseColWidth="10" defaultColWidth="9.109375" defaultRowHeight="13.8" x14ac:dyDescent="0.3"/>
  <cols>
    <col min="1" max="1" width="0.6640625" style="4" customWidth="1"/>
    <col min="2" max="2" width="12.109375" style="3" bestFit="1" customWidth="1"/>
    <col min="3" max="3" width="51.6640625" style="4" bestFit="1" customWidth="1"/>
    <col min="4" max="4" width="11.109375" style="3" bestFit="1" customWidth="1"/>
    <col min="5" max="5" width="11.33203125" style="3" bestFit="1" customWidth="1"/>
    <col min="6" max="6" width="1.6640625" style="4" customWidth="1"/>
    <col min="7" max="7" width="24.33203125" style="4" bestFit="1" customWidth="1"/>
    <col min="8" max="8" width="15.33203125" style="4" bestFit="1" customWidth="1"/>
    <col min="9" max="9" width="10.88671875" style="4" bestFit="1" customWidth="1"/>
    <col min="10" max="10" width="13.44140625" style="4" bestFit="1" customWidth="1"/>
    <col min="11" max="11" width="9.6640625" style="4" bestFit="1" customWidth="1"/>
    <col min="12" max="12" width="1.6640625" style="4" customWidth="1"/>
    <col min="13" max="13" width="14.6640625" style="4" bestFit="1" customWidth="1"/>
    <col min="14" max="14" width="18.44140625" style="4" bestFit="1" customWidth="1"/>
    <col min="15" max="15" width="69.44140625" style="4" bestFit="1" customWidth="1"/>
    <col min="16" max="16384" width="9.109375" style="4"/>
  </cols>
  <sheetData>
    <row r="1" spans="2:14" ht="3" customHeight="1" thickBot="1" x14ac:dyDescent="0.35"/>
    <row r="2" spans="2:14" ht="30.75" customHeight="1" thickBot="1" x14ac:dyDescent="0.35">
      <c r="B2" s="13" t="s">
        <v>0</v>
      </c>
      <c r="C2" s="14" t="s">
        <v>1</v>
      </c>
      <c r="D2" s="13" t="s">
        <v>2</v>
      </c>
      <c r="E2" s="13" t="s">
        <v>3</v>
      </c>
      <c r="G2" s="71" t="s">
        <v>4</v>
      </c>
      <c r="H2" s="19" t="s">
        <v>5</v>
      </c>
      <c r="I2" s="13" t="s">
        <v>6</v>
      </c>
      <c r="J2" s="13" t="s">
        <v>7</v>
      </c>
      <c r="K2" s="20" t="s">
        <v>8</v>
      </c>
      <c r="M2" s="152" t="s">
        <v>9</v>
      </c>
      <c r="N2" s="153"/>
    </row>
    <row r="3" spans="2:14" ht="14.4" thickBot="1" x14ac:dyDescent="0.35">
      <c r="B3" s="15">
        <v>1</v>
      </c>
      <c r="C3" s="7" t="s">
        <v>10</v>
      </c>
      <c r="D3" s="8"/>
      <c r="E3" s="141"/>
      <c r="G3" s="72" t="s">
        <v>11</v>
      </c>
      <c r="H3" s="67">
        <f>INDEX('Tabela de Resultados'!$C$98:$AG$98,MATCH('Questionário &amp; Resultados'!G3,'Tabela de Resultados'!$C$101:$AG$101,0))</f>
        <v>0</v>
      </c>
      <c r="I3" s="8">
        <f>INDEX('Tabela de Resultados'!$C$99:$AG$99,MATCH('Questionário &amp; Resultados'!G3,'Tabela de Resultados'!$C$101:$AG$101,0))</f>
        <v>9</v>
      </c>
      <c r="J3" s="119">
        <f>INDEX('Tabela de Resultados'!$C$100:$AG$100,MATCH('Questionário &amp; Resultados'!G3,'Tabela de Resultados'!$C$101:$AG$101,0))</f>
        <v>0</v>
      </c>
      <c r="K3" s="66" t="str">
        <f>IF(AND(J3&gt;0,J3&lt;0.3),"Em Falta",IF(J3&gt;=0.3,"Urgente","OK"))</f>
        <v>OK</v>
      </c>
      <c r="M3" s="154" t="s">
        <v>12</v>
      </c>
      <c r="N3" s="155"/>
    </row>
    <row r="4" spans="2:14" ht="14.4" thickBot="1" x14ac:dyDescent="0.35">
      <c r="B4" s="16">
        <v>2</v>
      </c>
      <c r="C4" s="9" t="s">
        <v>13</v>
      </c>
      <c r="D4" s="8"/>
      <c r="E4" s="142"/>
      <c r="G4" s="73" t="s">
        <v>14</v>
      </c>
      <c r="H4" s="68">
        <f>INDEX('Tabela de Resultados'!$C$98:$AG$98,MATCH('Questionário &amp; Resultados'!G4,'Tabela de Resultados'!$C$101:$AG$101,0))</f>
        <v>0</v>
      </c>
      <c r="I4" s="10">
        <f>INDEX('Tabela de Resultados'!$C$99:$AG$99,MATCH('Questionário &amp; Resultados'!G4,'Tabela de Resultados'!$C$101:$AG$101,0))</f>
        <v>18</v>
      </c>
      <c r="J4" s="120">
        <f>INDEX('Tabela de Resultados'!$C$100:$AG$100,MATCH('Questionário &amp; Resultados'!G4,'Tabela de Resultados'!$C$101:$AG$101,0))</f>
        <v>0</v>
      </c>
      <c r="K4" s="66" t="str">
        <f t="shared" ref="K4:K21" si="0">IF(AND(J4&gt;0,J4&lt;0.3),"Em Falta",IF(J4&gt;=0.3,"Urgente","OK"))</f>
        <v>OK</v>
      </c>
    </row>
    <row r="5" spans="2:14" ht="14.4" thickBot="1" x14ac:dyDescent="0.35">
      <c r="B5" s="16">
        <v>3</v>
      </c>
      <c r="C5" s="9" t="s">
        <v>15</v>
      </c>
      <c r="D5" s="8"/>
      <c r="E5" s="142"/>
      <c r="G5" s="73" t="s">
        <v>16</v>
      </c>
      <c r="H5" s="68">
        <f>INDEX('Tabela de Resultados'!$C$98:$AG$98,MATCH('Questionário &amp; Resultados'!G5,'Tabela de Resultados'!$C$101:$AG$101,0))</f>
        <v>0</v>
      </c>
      <c r="I5" s="10">
        <f>INDEX('Tabela de Resultados'!$C$99:$AG$99,MATCH('Questionário &amp; Resultados'!G5,'Tabela de Resultados'!$C$101:$AG$101,0))</f>
        <v>9</v>
      </c>
      <c r="J5" s="120">
        <f>INDEX('Tabela de Resultados'!$C$100:$AG$100,MATCH('Questionário &amp; Resultados'!G5,'Tabela de Resultados'!$C$101:$AG$101,0))</f>
        <v>0</v>
      </c>
      <c r="K5" s="66" t="str">
        <f t="shared" si="0"/>
        <v>OK</v>
      </c>
      <c r="M5" s="150" t="s">
        <v>17</v>
      </c>
      <c r="N5" s="151"/>
    </row>
    <row r="6" spans="2:14" ht="14.4" thickBot="1" x14ac:dyDescent="0.35">
      <c r="B6" s="16">
        <v>4</v>
      </c>
      <c r="C6" s="9" t="s">
        <v>18</v>
      </c>
      <c r="D6" s="8"/>
      <c r="E6" s="142"/>
      <c r="G6" s="73" t="s">
        <v>19</v>
      </c>
      <c r="H6" s="68">
        <f>INDEX('Tabela de Resultados'!$C$98:$AG$98,MATCH('Questionário &amp; Resultados'!G6,'Tabela de Resultados'!$C$101:$AG$101,0))</f>
        <v>0</v>
      </c>
      <c r="I6" s="10">
        <f>INDEX('Tabela de Resultados'!$C$99:$AG$99,MATCH('Questionário &amp; Resultados'!G6,'Tabela de Resultados'!$C$101:$AG$101,0))</f>
        <v>10</v>
      </c>
      <c r="J6" s="120">
        <f>INDEX('Tabela de Resultados'!$C$100:$AG$100,MATCH('Questionário &amp; Resultados'!G6,'Tabela de Resultados'!$C$101:$AG$101,0))</f>
        <v>0</v>
      </c>
      <c r="K6" s="66" t="str">
        <f t="shared" si="0"/>
        <v>OK</v>
      </c>
      <c r="M6" s="160"/>
      <c r="N6" s="161"/>
    </row>
    <row r="7" spans="2:14" ht="14.4" thickBot="1" x14ac:dyDescent="0.35">
      <c r="B7" s="16">
        <v>5</v>
      </c>
      <c r="C7" s="9" t="s">
        <v>20</v>
      </c>
      <c r="D7" s="141"/>
      <c r="E7" s="10"/>
      <c r="G7" s="73" t="s">
        <v>21</v>
      </c>
      <c r="H7" s="68">
        <f>INDEX('Tabela de Resultados'!$C$98:$AG$98,MATCH('Questionário &amp; Resultados'!G7,'Tabela de Resultados'!$C$101:$AG$101,0))</f>
        <v>0</v>
      </c>
      <c r="I7" s="10">
        <f>INDEX('Tabela de Resultados'!$C$99:$AG$99,MATCH('Questionário &amp; Resultados'!G7,'Tabela de Resultados'!$C$101:$AG$101,0))</f>
        <v>8</v>
      </c>
      <c r="J7" s="120">
        <f>INDEX('Tabela de Resultados'!$C$100:$AG$100,MATCH('Questionário &amp; Resultados'!G7,'Tabela de Resultados'!$C$101:$AG$101,0))</f>
        <v>0</v>
      </c>
      <c r="K7" s="66" t="str">
        <f t="shared" si="0"/>
        <v>OK</v>
      </c>
    </row>
    <row r="8" spans="2:14" ht="14.4" thickBot="1" x14ac:dyDescent="0.35">
      <c r="B8" s="16">
        <v>6</v>
      </c>
      <c r="C8" s="9" t="s">
        <v>22</v>
      </c>
      <c r="D8" s="8"/>
      <c r="E8" s="142"/>
      <c r="G8" s="73" t="s">
        <v>23</v>
      </c>
      <c r="H8" s="68">
        <f>INDEX('Tabela de Resultados'!$C$98:$AG$98,MATCH('Questionário &amp; Resultados'!G8,'Tabela de Resultados'!$C$101:$AG$101,0))</f>
        <v>0</v>
      </c>
      <c r="I8" s="10">
        <f>INDEX('Tabela de Resultados'!$C$99:$AG$99,MATCH('Questionário &amp; Resultados'!G8,'Tabela de Resultados'!$C$101:$AG$101,0))</f>
        <v>9</v>
      </c>
      <c r="J8" s="120">
        <f>INDEX('Tabela de Resultados'!$C$100:$AG$100,MATCH('Questionário &amp; Resultados'!G8,'Tabela de Resultados'!$C$101:$AG$101,0))</f>
        <v>0</v>
      </c>
      <c r="K8" s="66" t="str">
        <f t="shared" si="0"/>
        <v>OK</v>
      </c>
      <c r="M8" s="150" t="s">
        <v>24</v>
      </c>
      <c r="N8" s="151"/>
    </row>
    <row r="9" spans="2:14" ht="14.4" thickBot="1" x14ac:dyDescent="0.35">
      <c r="B9" s="16">
        <v>7</v>
      </c>
      <c r="C9" s="9" t="s">
        <v>25</v>
      </c>
      <c r="D9" s="8"/>
      <c r="E9" s="142"/>
      <c r="G9" s="73" t="s">
        <v>26</v>
      </c>
      <c r="H9" s="68">
        <f>INDEX('Tabela de Resultados'!$C$98:$AG$98,MATCH('Questionário &amp; Resultados'!G9,'Tabela de Resultados'!$C$101:$AG$101,0))</f>
        <v>0</v>
      </c>
      <c r="I9" s="10">
        <f>INDEX('Tabela de Resultados'!$C$99:$AG$99,MATCH('Questionário &amp; Resultados'!G9,'Tabela de Resultados'!$C$101:$AG$101,0))</f>
        <v>8</v>
      </c>
      <c r="J9" s="120">
        <f>INDEX('Tabela de Resultados'!$C$100:$AG$100,MATCH('Questionário &amp; Resultados'!G9,'Tabela de Resultados'!$C$101:$AG$101,0))</f>
        <v>0</v>
      </c>
      <c r="K9" s="66" t="str">
        <f t="shared" si="0"/>
        <v>OK</v>
      </c>
      <c r="M9" s="160"/>
      <c r="N9" s="161"/>
    </row>
    <row r="10" spans="2:14" ht="14.4" thickBot="1" x14ac:dyDescent="0.35">
      <c r="B10" s="16">
        <v>8</v>
      </c>
      <c r="C10" s="9" t="s">
        <v>27</v>
      </c>
      <c r="D10" s="8"/>
      <c r="E10" s="142"/>
      <c r="G10" s="73" t="s">
        <v>28</v>
      </c>
      <c r="H10" s="68">
        <f>INDEX('Tabela de Resultados'!$C$98:$AG$98,MATCH('Questionário &amp; Resultados'!G10,'Tabela de Resultados'!$C$101:$AG$101,0))</f>
        <v>0</v>
      </c>
      <c r="I10" s="10">
        <f>INDEX('Tabela de Resultados'!$C$99:$AG$99,MATCH('Questionário &amp; Resultados'!G10,'Tabela de Resultados'!$C$101:$AG$101,0))</f>
        <v>9</v>
      </c>
      <c r="J10" s="120">
        <f>INDEX('Tabela de Resultados'!$C$100:$AG$100,MATCH('Questionário &amp; Resultados'!G10,'Tabela de Resultados'!$C$101:$AG$101,0))</f>
        <v>0</v>
      </c>
      <c r="K10" s="66" t="str">
        <f t="shared" si="0"/>
        <v>OK</v>
      </c>
    </row>
    <row r="11" spans="2:14" ht="14.4" thickBot="1" x14ac:dyDescent="0.35">
      <c r="B11" s="16">
        <v>9</v>
      </c>
      <c r="C11" s="9" t="s">
        <v>29</v>
      </c>
      <c r="D11" s="8"/>
      <c r="E11" s="142"/>
      <c r="G11" s="73" t="s">
        <v>30</v>
      </c>
      <c r="H11" s="68">
        <f>INDEX('Tabela de Resultados'!$C$98:$AG$98,MATCH('Questionário &amp; Resultados'!G11,'Tabela de Resultados'!$C$101:$AG$101,0))</f>
        <v>0</v>
      </c>
      <c r="I11" s="10">
        <f>INDEX('Tabela de Resultados'!$C$99:$AG$99,MATCH('Questionário &amp; Resultados'!G11,'Tabela de Resultados'!$C$101:$AG$101,0))</f>
        <v>8</v>
      </c>
      <c r="J11" s="120">
        <f>INDEX('Tabela de Resultados'!$C$100:$AG$100,MATCH('Questionário &amp; Resultados'!G11,'Tabela de Resultados'!$C$101:$AG$101,0))</f>
        <v>0</v>
      </c>
      <c r="K11" s="66" t="str">
        <f t="shared" si="0"/>
        <v>OK</v>
      </c>
      <c r="M11" s="150" t="s">
        <v>31</v>
      </c>
      <c r="N11" s="151"/>
    </row>
    <row r="12" spans="2:14" ht="14.4" thickBot="1" x14ac:dyDescent="0.35">
      <c r="B12" s="16">
        <v>10</v>
      </c>
      <c r="C12" s="9" t="s">
        <v>32</v>
      </c>
      <c r="D12" s="141"/>
      <c r="E12" s="10"/>
      <c r="G12" s="73" t="s">
        <v>33</v>
      </c>
      <c r="H12" s="68">
        <f>INDEX('Tabela de Resultados'!$C$98:$AG$98,MATCH('Questionário &amp; Resultados'!G12,'Tabela de Resultados'!$C$101:$AG$101,0))</f>
        <v>0</v>
      </c>
      <c r="I12" s="10">
        <f>INDEX('Tabela de Resultados'!$C$99:$AG$99,MATCH('Questionário &amp; Resultados'!G12,'Tabela de Resultados'!$C$101:$AG$101,0))</f>
        <v>9</v>
      </c>
      <c r="J12" s="120">
        <f>INDEX('Tabela de Resultados'!$C$100:$AG$100,MATCH('Questionário &amp; Resultados'!G12,'Tabela de Resultados'!$C$101:$AG$101,0))</f>
        <v>0</v>
      </c>
      <c r="K12" s="66" t="str">
        <f t="shared" si="0"/>
        <v>OK</v>
      </c>
      <c r="M12" s="160"/>
      <c r="N12" s="161"/>
    </row>
    <row r="13" spans="2:14" ht="14.4" thickBot="1" x14ac:dyDescent="0.35">
      <c r="B13" s="16">
        <v>11</v>
      </c>
      <c r="C13" s="9" t="s">
        <v>34</v>
      </c>
      <c r="D13" s="8"/>
      <c r="E13" s="142"/>
      <c r="G13" s="73" t="s">
        <v>35</v>
      </c>
      <c r="H13" s="68">
        <f>INDEX('Tabela de Resultados'!$C$98:$AG$98,MATCH('Questionário &amp; Resultados'!G13,'Tabela de Resultados'!$C$101:$AG$101,0))</f>
        <v>0</v>
      </c>
      <c r="I13" s="10">
        <f>INDEX('Tabela de Resultados'!$C$99:$AG$99,MATCH('Questionário &amp; Resultados'!G13,'Tabela de Resultados'!$C$101:$AG$101,0))</f>
        <v>9</v>
      </c>
      <c r="J13" s="120">
        <f>INDEX('Tabela de Resultados'!$C$100:$AG$100,MATCH('Questionário &amp; Resultados'!G13,'Tabela de Resultados'!$C$101:$AG$101,0))</f>
        <v>0</v>
      </c>
      <c r="K13" s="66" t="str">
        <f t="shared" si="0"/>
        <v>OK</v>
      </c>
    </row>
    <row r="14" spans="2:14" ht="14.4" thickBot="1" x14ac:dyDescent="0.35">
      <c r="B14" s="16">
        <v>12</v>
      </c>
      <c r="C14" s="9" t="s">
        <v>36</v>
      </c>
      <c r="D14" s="141"/>
      <c r="E14" s="10"/>
      <c r="G14" s="73" t="s">
        <v>37</v>
      </c>
      <c r="H14" s="68">
        <f>INDEX('Tabela de Resultados'!$C$98:$AG$98,MATCH('Questionário &amp; Resultados'!G14,'Tabela de Resultados'!$C$101:$AG$101,0))</f>
        <v>0</v>
      </c>
      <c r="I14" s="10">
        <f>INDEX('Tabela de Resultados'!$C$99:$AG$99,MATCH('Questionário &amp; Resultados'!G14,'Tabela de Resultados'!$C$101:$AG$101,0))</f>
        <v>9</v>
      </c>
      <c r="J14" s="120">
        <f>INDEX('Tabela de Resultados'!$C$100:$AG$100,MATCH('Questionário &amp; Resultados'!G14,'Tabela de Resultados'!$C$101:$AG$101,0))</f>
        <v>0</v>
      </c>
      <c r="K14" s="66" t="str">
        <f t="shared" si="0"/>
        <v>OK</v>
      </c>
      <c r="M14" s="156" t="s">
        <v>38</v>
      </c>
      <c r="N14" s="157"/>
    </row>
    <row r="15" spans="2:14" x14ac:dyDescent="0.3">
      <c r="B15" s="16">
        <v>13</v>
      </c>
      <c r="C15" s="9" t="s">
        <v>39</v>
      </c>
      <c r="D15" s="8"/>
      <c r="E15" s="142"/>
      <c r="G15" s="73" t="s">
        <v>40</v>
      </c>
      <c r="H15" s="68">
        <f>INDEX('Tabela de Resultados'!$C$98:$AG$98,MATCH('Questionário &amp; Resultados'!G15,'Tabela de Resultados'!$C$101:$AG$101,0))</f>
        <v>0</v>
      </c>
      <c r="I15" s="10">
        <f>INDEX('Tabela de Resultados'!$C$99:$AG$99,MATCH('Questionário &amp; Resultados'!G15,'Tabela de Resultados'!$C$101:$AG$101,0))</f>
        <v>6</v>
      </c>
      <c r="J15" s="120">
        <f>INDEX('Tabela de Resultados'!$C$100:$AG$100,MATCH('Questionário &amp; Resultados'!G15,'Tabela de Resultados'!$C$101:$AG$101,0))</f>
        <v>0</v>
      </c>
      <c r="K15" s="66" t="str">
        <f t="shared" si="0"/>
        <v>OK</v>
      </c>
      <c r="M15" s="158"/>
      <c r="N15" s="159"/>
    </row>
    <row r="16" spans="2:14" x14ac:dyDescent="0.3">
      <c r="B16" s="16">
        <v>14</v>
      </c>
      <c r="C16" s="9" t="s">
        <v>41</v>
      </c>
      <c r="D16" s="8"/>
      <c r="E16" s="142"/>
      <c r="G16" s="73" t="s">
        <v>42</v>
      </c>
      <c r="H16" s="68">
        <f>INDEX('Tabela de Resultados'!$C$98:$AG$98,MATCH('Questionário &amp; Resultados'!G16,'Tabela de Resultados'!$C$101:$AG$101,0))</f>
        <v>0</v>
      </c>
      <c r="I16" s="10">
        <f>INDEX('Tabela de Resultados'!$C$99:$AG$99,MATCH('Questionário &amp; Resultados'!G16,'Tabela de Resultados'!$C$101:$AG$101,0))</f>
        <v>6</v>
      </c>
      <c r="J16" s="120">
        <f>INDEX('Tabela de Resultados'!$C$100:$AG$100,MATCH('Questionário &amp; Resultados'!G16,'Tabela de Resultados'!$C$101:$AG$101,0))</f>
        <v>0</v>
      </c>
      <c r="K16" s="66" t="str">
        <f t="shared" si="0"/>
        <v>OK</v>
      </c>
      <c r="M16" s="146"/>
      <c r="N16" s="147"/>
    </row>
    <row r="17" spans="2:14" x14ac:dyDescent="0.3">
      <c r="B17" s="16">
        <v>15</v>
      </c>
      <c r="C17" s="9" t="s">
        <v>43</v>
      </c>
      <c r="D17" s="8"/>
      <c r="E17" s="142"/>
      <c r="G17" s="73" t="s">
        <v>44</v>
      </c>
      <c r="H17" s="68">
        <f>INDEX('Tabela de Resultados'!$C$98:$AG$98,MATCH('Questionário &amp; Resultados'!G17,'Tabela de Resultados'!$C$101:$AG$101,0))</f>
        <v>0</v>
      </c>
      <c r="I17" s="10">
        <f>INDEX('Tabela de Resultados'!$C$99:$AG$99,MATCH('Questionário &amp; Resultados'!G17,'Tabela de Resultados'!$C$101:$AG$101,0))</f>
        <v>14</v>
      </c>
      <c r="J17" s="120">
        <f>INDEX('Tabela de Resultados'!$C$100:$AG$100,MATCH('Questionário &amp; Resultados'!G17,'Tabela de Resultados'!$C$101:$AG$101,0))</f>
        <v>0</v>
      </c>
      <c r="K17" s="66" t="str">
        <f t="shared" si="0"/>
        <v>OK</v>
      </c>
      <c r="M17" s="146"/>
      <c r="N17" s="147"/>
    </row>
    <row r="18" spans="2:14" x14ac:dyDescent="0.3">
      <c r="B18" s="16">
        <v>16</v>
      </c>
      <c r="C18" s="9" t="s">
        <v>45</v>
      </c>
      <c r="D18" s="8"/>
      <c r="E18" s="142"/>
      <c r="G18" s="73" t="s">
        <v>46</v>
      </c>
      <c r="H18" s="68">
        <f>INDEX('Tabela de Resultados'!$C$98:$AG$98,MATCH('Questionário &amp; Resultados'!G18,'Tabela de Resultados'!$C$101:$AG$101,0))</f>
        <v>0</v>
      </c>
      <c r="I18" s="10">
        <f>INDEX('Tabela de Resultados'!$C$99:$AG$99,MATCH('Questionário &amp; Resultados'!G18,'Tabela de Resultados'!$C$101:$AG$101,0))</f>
        <v>5</v>
      </c>
      <c r="J18" s="120">
        <f>INDEX('Tabela de Resultados'!$C$100:$AG$100,MATCH('Questionário &amp; Resultados'!G18,'Tabela de Resultados'!$C$101:$AG$101,0))</f>
        <v>0</v>
      </c>
      <c r="K18" s="66" t="str">
        <f t="shared" si="0"/>
        <v>OK</v>
      </c>
      <c r="M18" s="146"/>
      <c r="N18" s="147"/>
    </row>
    <row r="19" spans="2:14" x14ac:dyDescent="0.3">
      <c r="B19" s="16">
        <v>17</v>
      </c>
      <c r="C19" s="9" t="s">
        <v>47</v>
      </c>
      <c r="D19" s="141"/>
      <c r="E19" s="10"/>
      <c r="G19" s="73" t="s">
        <v>48</v>
      </c>
      <c r="H19" s="68">
        <f>INDEX('Tabela de Resultados'!$C$98:$AG$98,MATCH('Questionário &amp; Resultados'!G19,'Tabela de Resultados'!$C$101:$AG$101,0))</f>
        <v>0</v>
      </c>
      <c r="I19" s="10">
        <f>INDEX('Tabela de Resultados'!$C$99:$AG$99,MATCH('Questionário &amp; Resultados'!G19,'Tabela de Resultados'!$C$101:$AG$101,0))</f>
        <v>4</v>
      </c>
      <c r="J19" s="120">
        <f>INDEX('Tabela de Resultados'!$C$100:$AG$100,MATCH('Questionário &amp; Resultados'!G19,'Tabela de Resultados'!$C$101:$AG$101,0))</f>
        <v>0</v>
      </c>
      <c r="K19" s="66" t="str">
        <f t="shared" si="0"/>
        <v>OK</v>
      </c>
      <c r="M19" s="146"/>
      <c r="N19" s="147"/>
    </row>
    <row r="20" spans="2:14" x14ac:dyDescent="0.3">
      <c r="B20" s="16">
        <v>18</v>
      </c>
      <c r="C20" s="9" t="s">
        <v>49</v>
      </c>
      <c r="D20" s="141"/>
      <c r="E20" s="142"/>
      <c r="G20" s="73" t="s">
        <v>50</v>
      </c>
      <c r="H20" s="68">
        <f>INDEX('Tabela de Resultados'!$C$98:$AG$98,MATCH('Questionário &amp; Resultados'!G20,'Tabela de Resultados'!$C$101:$AG$101,0))</f>
        <v>0</v>
      </c>
      <c r="I20" s="10">
        <f>INDEX('Tabela de Resultados'!$C$99:$AG$99,MATCH('Questionário &amp; Resultados'!G20,'Tabela de Resultados'!$C$101:$AG$101,0))</f>
        <v>8</v>
      </c>
      <c r="J20" s="120">
        <f>INDEX('Tabela de Resultados'!$C$100:$AG$100,MATCH('Questionário &amp; Resultados'!G20,'Tabela de Resultados'!$C$101:$AG$101,0))</f>
        <v>0</v>
      </c>
      <c r="K20" s="66" t="str">
        <f t="shared" si="0"/>
        <v>OK</v>
      </c>
      <c r="M20" s="146"/>
      <c r="N20" s="147"/>
    </row>
    <row r="21" spans="2:14" ht="14.4" thickBot="1" x14ac:dyDescent="0.35">
      <c r="B21" s="16">
        <v>19</v>
      </c>
      <c r="C21" s="9" t="s">
        <v>51</v>
      </c>
      <c r="D21" s="8"/>
      <c r="E21" s="142"/>
      <c r="G21" s="74" t="s">
        <v>52</v>
      </c>
      <c r="H21" s="69">
        <f>INDEX('Tabela de Resultados'!$C$98:$AG$98,MATCH('Questionário &amp; Resultados'!G21,'Tabela de Resultados'!$C$101:$AG$101,0))</f>
        <v>0</v>
      </c>
      <c r="I21" s="12">
        <f>INDEX('Tabela de Resultados'!$C$99:$AG$99,MATCH('Questionário &amp; Resultados'!G21,'Tabela de Resultados'!$C$101:$AG$101,0))</f>
        <v>13</v>
      </c>
      <c r="J21" s="121">
        <f>INDEX('Tabela de Resultados'!$C$100:$AG$100,MATCH('Questionário &amp; Resultados'!G21,'Tabela de Resultados'!$C$101:$AG$101,0))</f>
        <v>0</v>
      </c>
      <c r="K21" s="70" t="str">
        <f t="shared" si="0"/>
        <v>OK</v>
      </c>
      <c r="M21" s="146"/>
      <c r="N21" s="147"/>
    </row>
    <row r="22" spans="2:14" ht="14.4" thickBot="1" x14ac:dyDescent="0.35">
      <c r="B22" s="16">
        <v>20</v>
      </c>
      <c r="C22" s="9" t="s">
        <v>53</v>
      </c>
      <c r="D22" s="8"/>
      <c r="E22" s="142"/>
      <c r="M22" s="146"/>
      <c r="N22" s="147"/>
    </row>
    <row r="23" spans="2:14" ht="14.4" thickBot="1" x14ac:dyDescent="0.35">
      <c r="B23" s="16">
        <v>21</v>
      </c>
      <c r="C23" s="9" t="s">
        <v>54</v>
      </c>
      <c r="D23" s="8"/>
      <c r="E23" s="142"/>
      <c r="G23" s="71" t="s">
        <v>55</v>
      </c>
      <c r="H23" s="19" t="s">
        <v>56</v>
      </c>
      <c r="I23" s="13" t="s">
        <v>6</v>
      </c>
      <c r="J23" s="19" t="s">
        <v>7</v>
      </c>
      <c r="K23" s="13" t="s">
        <v>57</v>
      </c>
      <c r="M23" s="148"/>
      <c r="N23" s="149"/>
    </row>
    <row r="24" spans="2:14" ht="14.4" thickBot="1" x14ac:dyDescent="0.35">
      <c r="B24" s="16">
        <v>22</v>
      </c>
      <c r="C24" s="9" t="s">
        <v>58</v>
      </c>
      <c r="D24" s="8"/>
      <c r="E24" s="142"/>
      <c r="G24" s="124" t="s">
        <v>59</v>
      </c>
      <c r="H24" s="67">
        <f>INDEX('Tabela de Resultados'!$C$98:$AG$98,MATCH('Questionário &amp; Resultados'!G24,'Tabela de Resultados'!$C$101:$AG$101,0))</f>
        <v>0</v>
      </c>
      <c r="I24" s="8">
        <f>INDEX('Tabela de Resultados'!$C$99:$AG$99,MATCH('Questionário &amp; Resultados'!G24,'Tabela de Resultados'!$C$101:$AG$101,0))</f>
        <v>9</v>
      </c>
      <c r="J24" s="119">
        <f>INDEX('Tabela de Resultados'!$C$100:$AG$100,MATCH('Questionário &amp; Resultados'!G24,'Tabela de Resultados'!$C$101:$AG$101,0))</f>
        <v>0</v>
      </c>
      <c r="K24" s="66" t="str">
        <f t="shared" ref="K24:K35" si="1">IF(AND(J24&gt;0,J24&lt;0.3),"Em Falta",IF(J24&gt;=0.3,"Urgente","OK"))</f>
        <v>OK</v>
      </c>
    </row>
    <row r="25" spans="2:14" ht="14.4" thickBot="1" x14ac:dyDescent="0.35">
      <c r="B25" s="16">
        <v>23</v>
      </c>
      <c r="C25" s="9" t="s">
        <v>60</v>
      </c>
      <c r="D25" s="8"/>
      <c r="E25" s="142"/>
      <c r="G25" s="125" t="s">
        <v>61</v>
      </c>
      <c r="H25" s="68">
        <f>INDEX('Tabela de Resultados'!$C$98:$AG$98,MATCH('Questionário &amp; Resultados'!G25,'Tabela de Resultados'!$C$101:$AG$101,0))</f>
        <v>0</v>
      </c>
      <c r="I25" s="10">
        <f>INDEX('Tabela de Resultados'!$C$99:$AG$99,MATCH('Questionário &amp; Resultados'!G25,'Tabela de Resultados'!$C$101:$AG$101,0))</f>
        <v>1</v>
      </c>
      <c r="J25" s="120">
        <f>INDEX('Tabela de Resultados'!$C$100:$AG$100,MATCH('Questionário &amp; Resultados'!G25,'Tabela de Resultados'!$C$101:$AG$101,0))</f>
        <v>0</v>
      </c>
      <c r="K25" s="66" t="str">
        <f t="shared" si="1"/>
        <v>OK</v>
      </c>
      <c r="M25" s="150" t="s">
        <v>62</v>
      </c>
      <c r="N25" s="151"/>
    </row>
    <row r="26" spans="2:14" ht="14.4" thickBot="1" x14ac:dyDescent="0.35">
      <c r="B26" s="16">
        <v>24</v>
      </c>
      <c r="C26" s="9" t="s">
        <v>63</v>
      </c>
      <c r="D26" s="8"/>
      <c r="E26" s="142"/>
      <c r="G26" s="125" t="s">
        <v>64</v>
      </c>
      <c r="H26" s="68">
        <f>INDEX('Tabela de Resultados'!$C$98:$AG$98,MATCH('Questionário &amp; Resultados'!G26,'Tabela de Resultados'!$C$101:$AG$101,0))</f>
        <v>0</v>
      </c>
      <c r="I26" s="10">
        <f>INDEX('Tabela de Resultados'!$C$99:$AG$99,MATCH('Questionário &amp; Resultados'!G26,'Tabela de Resultados'!$C$101:$AG$101,0))</f>
        <v>3</v>
      </c>
      <c r="J26" s="120">
        <f>INDEX('Tabela de Resultados'!$C$100:$AG$100,MATCH('Questionário &amp; Resultados'!G26,'Tabela de Resultados'!$C$101:$AG$101,0))</f>
        <v>0</v>
      </c>
      <c r="K26" s="66" t="str">
        <f t="shared" si="1"/>
        <v>OK</v>
      </c>
      <c r="M26" s="131" t="s">
        <v>65</v>
      </c>
      <c r="N26" s="131" t="s">
        <v>66</v>
      </c>
    </row>
    <row r="27" spans="2:14" x14ac:dyDescent="0.3">
      <c r="B27" s="16">
        <v>25</v>
      </c>
      <c r="C27" s="9" t="s">
        <v>67</v>
      </c>
      <c r="D27" s="141"/>
      <c r="E27" s="10"/>
      <c r="G27" s="125" t="s">
        <v>68</v>
      </c>
      <c r="H27" s="68">
        <f>INDEX('Tabela de Resultados'!$C$98:$AG$98,MATCH('Questionário &amp; Resultados'!G27,'Tabela de Resultados'!$C$101:$AG$101,0))</f>
        <v>0</v>
      </c>
      <c r="I27" s="10">
        <f>INDEX('Tabela de Resultados'!$C$99:$AG$99,MATCH('Questionário &amp; Resultados'!G27,'Tabela de Resultados'!$C$101:$AG$101,0))</f>
        <v>4</v>
      </c>
      <c r="J27" s="120">
        <f>INDEX('Tabela de Resultados'!$C$100:$AG$100,MATCH('Questionário &amp; Resultados'!G27,'Tabela de Resultados'!$C$101:$AG$101,0))</f>
        <v>0</v>
      </c>
      <c r="K27" s="66" t="str">
        <f t="shared" si="1"/>
        <v>OK</v>
      </c>
      <c r="M27" s="132"/>
      <c r="N27" s="133"/>
    </row>
    <row r="28" spans="2:14" x14ac:dyDescent="0.3">
      <c r="B28" s="16">
        <v>26</v>
      </c>
      <c r="C28" s="9" t="s">
        <v>69</v>
      </c>
      <c r="D28" s="141"/>
      <c r="E28" s="10"/>
      <c r="G28" s="125" t="s">
        <v>70</v>
      </c>
      <c r="H28" s="68">
        <f>INDEX('Tabela de Resultados'!$C$98:$AG$98,MATCH('Questionário &amp; Resultados'!G28,'Tabela de Resultados'!$C$101:$AG$101,0))</f>
        <v>0</v>
      </c>
      <c r="I28" s="10">
        <f>INDEX('Tabela de Resultados'!$C$99:$AG$99,MATCH('Questionário &amp; Resultados'!G28,'Tabela de Resultados'!$C$101:$AG$101,0))</f>
        <v>1</v>
      </c>
      <c r="J28" s="120">
        <f>INDEX('Tabela de Resultados'!$C$100:$AG$100,MATCH('Questionário &amp; Resultados'!G28,'Tabela de Resultados'!$C$101:$AG$101,0))</f>
        <v>0</v>
      </c>
      <c r="K28" s="66" t="str">
        <f t="shared" si="1"/>
        <v>OK</v>
      </c>
      <c r="M28" s="134"/>
      <c r="N28" s="135"/>
    </row>
    <row r="29" spans="2:14" x14ac:dyDescent="0.3">
      <c r="B29" s="16">
        <v>27</v>
      </c>
      <c r="C29" s="9" t="s">
        <v>71</v>
      </c>
      <c r="D29" s="8"/>
      <c r="E29" s="142"/>
      <c r="G29" s="125" t="s">
        <v>72</v>
      </c>
      <c r="H29" s="68">
        <f>INDEX('Tabela de Resultados'!$C$98:$AG$98,MATCH('Questionário &amp; Resultados'!G29,'Tabela de Resultados'!$C$101:$AG$101,0))</f>
        <v>0</v>
      </c>
      <c r="I29" s="10">
        <f>INDEX('Tabela de Resultados'!$C$99:$AG$99,MATCH('Questionário &amp; Resultados'!G29,'Tabela de Resultados'!$C$101:$AG$101,0))</f>
        <v>2</v>
      </c>
      <c r="J29" s="120">
        <f>INDEX('Tabela de Resultados'!$C$100:$AG$100,MATCH('Questionário &amp; Resultados'!G29,'Tabela de Resultados'!$C$101:$AG$101,0))</f>
        <v>0</v>
      </c>
      <c r="K29" s="66" t="str">
        <f t="shared" si="1"/>
        <v>OK</v>
      </c>
      <c r="M29" s="134"/>
      <c r="N29" s="135"/>
    </row>
    <row r="30" spans="2:14" x14ac:dyDescent="0.3">
      <c r="B30" s="16">
        <v>28</v>
      </c>
      <c r="C30" s="9" t="s">
        <v>73</v>
      </c>
      <c r="D30" s="8"/>
      <c r="E30" s="142"/>
      <c r="G30" s="125" t="s">
        <v>74</v>
      </c>
      <c r="H30" s="68">
        <f>INDEX('Tabela de Resultados'!$C$98:$AG$98,MATCH('Questionário &amp; Resultados'!G30,'Tabela de Resultados'!$C$101:$AG$101,0))</f>
        <v>0</v>
      </c>
      <c r="I30" s="10">
        <f>INDEX('Tabela de Resultados'!$C$99:$AG$99,MATCH('Questionário &amp; Resultados'!G30,'Tabela de Resultados'!$C$101:$AG$101,0))</f>
        <v>5</v>
      </c>
      <c r="J30" s="120">
        <f>INDEX('Tabela de Resultados'!$C$100:$AG$100,MATCH('Questionário &amp; Resultados'!G30,'Tabela de Resultados'!$C$101:$AG$101,0))</f>
        <v>0</v>
      </c>
      <c r="K30" s="66" t="str">
        <f t="shared" si="1"/>
        <v>OK</v>
      </c>
      <c r="M30" s="134"/>
      <c r="N30" s="135"/>
    </row>
    <row r="31" spans="2:14" x14ac:dyDescent="0.3">
      <c r="B31" s="16">
        <v>29</v>
      </c>
      <c r="C31" s="9" t="s">
        <v>75</v>
      </c>
      <c r="D31" s="141"/>
      <c r="E31" s="10"/>
      <c r="G31" s="125" t="s">
        <v>76</v>
      </c>
      <c r="H31" s="68">
        <f>INDEX('Tabela de Resultados'!$C$98:$AG$98,MATCH('Questionário &amp; Resultados'!G31,'Tabela de Resultados'!$C$101:$AG$101,0))</f>
        <v>0</v>
      </c>
      <c r="I31" s="10">
        <f>INDEX('Tabela de Resultados'!$C$99:$AG$99,MATCH('Questionário &amp; Resultados'!G31,'Tabela de Resultados'!$C$101:$AG$101,0))</f>
        <v>3</v>
      </c>
      <c r="J31" s="120">
        <f>INDEX('Tabela de Resultados'!$C$100:$AG$100,MATCH('Questionário &amp; Resultados'!G31,'Tabela de Resultados'!$C$101:$AG$101,0))</f>
        <v>0</v>
      </c>
      <c r="K31" s="66" t="str">
        <f t="shared" si="1"/>
        <v>OK</v>
      </c>
      <c r="M31" s="134"/>
      <c r="N31" s="135"/>
    </row>
    <row r="32" spans="2:14" x14ac:dyDescent="0.3">
      <c r="B32" s="16">
        <v>30</v>
      </c>
      <c r="C32" s="9" t="s">
        <v>77</v>
      </c>
      <c r="D32" s="141"/>
      <c r="E32" s="10"/>
      <c r="G32" s="125" t="s">
        <v>78</v>
      </c>
      <c r="H32" s="68">
        <f>INDEX('Tabela de Resultados'!$C$98:$AG$98,MATCH('Questionário &amp; Resultados'!G32,'Tabela de Resultados'!$C$101:$AG$101,0))</f>
        <v>0</v>
      </c>
      <c r="I32" s="10">
        <f>INDEX('Tabela de Resultados'!$C$99:$AG$99,MATCH('Questionário &amp; Resultados'!G32,'Tabela de Resultados'!$C$101:$AG$101,0))</f>
        <v>3</v>
      </c>
      <c r="J32" s="120">
        <f>INDEX('Tabela de Resultados'!$C$100:$AG$100,MATCH('Questionário &amp; Resultados'!G32,'Tabela de Resultados'!$C$101:$AG$101,0))</f>
        <v>0</v>
      </c>
      <c r="K32" s="66" t="str">
        <f t="shared" si="1"/>
        <v>OK</v>
      </c>
      <c r="M32" s="134"/>
      <c r="N32" s="135"/>
    </row>
    <row r="33" spans="2:14" x14ac:dyDescent="0.3">
      <c r="B33" s="16">
        <v>31</v>
      </c>
      <c r="C33" s="9" t="s">
        <v>79</v>
      </c>
      <c r="D33" s="141"/>
      <c r="E33" s="8"/>
      <c r="G33" s="125" t="s">
        <v>80</v>
      </c>
      <c r="H33" s="68">
        <f>INDEX('Tabela de Resultados'!$C$98:$AG$98,MATCH('Questionário &amp; Resultados'!G33,'Tabela de Resultados'!$C$101:$AG$101,0))</f>
        <v>0</v>
      </c>
      <c r="I33" s="10">
        <f>INDEX('Tabela de Resultados'!$C$99:$AG$99,MATCH('Questionário &amp; Resultados'!G33,'Tabela de Resultados'!$C$101:$AG$101,0))</f>
        <v>2</v>
      </c>
      <c r="J33" s="120">
        <f>INDEX('Tabela de Resultados'!$C$100:$AG$100,MATCH('Questionário &amp; Resultados'!G33,'Tabela de Resultados'!$C$101:$AG$101,0))</f>
        <v>0</v>
      </c>
      <c r="K33" s="66" t="str">
        <f t="shared" si="1"/>
        <v>OK</v>
      </c>
      <c r="M33" s="134"/>
      <c r="N33" s="135"/>
    </row>
    <row r="34" spans="2:14" ht="14.4" thickBot="1" x14ac:dyDescent="0.35">
      <c r="B34" s="16">
        <v>32</v>
      </c>
      <c r="C34" s="9" t="s">
        <v>81</v>
      </c>
      <c r="D34" s="8"/>
      <c r="E34" s="141"/>
      <c r="G34" s="125" t="s">
        <v>82</v>
      </c>
      <c r="H34" s="68">
        <f>INDEX('Tabela de Resultados'!$C$98:$AG$98,MATCH('Questionário &amp; Resultados'!G34,'Tabela de Resultados'!$C$101:$AG$101,0))</f>
        <v>0</v>
      </c>
      <c r="I34" s="10">
        <f>INDEX('Tabela de Resultados'!$C$99:$AG$99,MATCH('Questionário &amp; Resultados'!G34,'Tabela de Resultados'!$C$101:$AG$101,0))</f>
        <v>7</v>
      </c>
      <c r="J34" s="120">
        <f>INDEX('Tabela de Resultados'!$C$100:$AG$100,MATCH('Questionário &amp; Resultados'!G34,'Tabela de Resultados'!$C$101:$AG$101,0))</f>
        <v>0</v>
      </c>
      <c r="K34" s="66" t="str">
        <f t="shared" si="1"/>
        <v>OK</v>
      </c>
      <c r="M34" s="136"/>
      <c r="N34" s="137"/>
    </row>
    <row r="35" spans="2:14" ht="14.4" thickBot="1" x14ac:dyDescent="0.35">
      <c r="B35" s="16">
        <v>33</v>
      </c>
      <c r="C35" s="9" t="s">
        <v>83</v>
      </c>
      <c r="D35" s="141"/>
      <c r="E35" s="8"/>
      <c r="G35" s="126" t="s">
        <v>84</v>
      </c>
      <c r="H35" s="69">
        <f>INDEX('Tabela de Resultados'!$C$98:$AG$98,MATCH('Questionário &amp; Resultados'!G35,'Tabela de Resultados'!$C$101:$AG$101,0))</f>
        <v>0</v>
      </c>
      <c r="I35" s="12">
        <f>INDEX('Tabela de Resultados'!$C$99:$AG$99,MATCH('Questionário &amp; Resultados'!G35,'Tabela de Resultados'!$C$101:$AG$101,0))</f>
        <v>3</v>
      </c>
      <c r="J35" s="121">
        <f>INDEX('Tabela de Resultados'!$C$100:$AG$100,MATCH('Questionário &amp; Resultados'!G35,'Tabela de Resultados'!$C$101:$AG$101,0))</f>
        <v>0</v>
      </c>
      <c r="K35" s="70" t="str">
        <f t="shared" si="1"/>
        <v>OK</v>
      </c>
    </row>
    <row r="36" spans="2:14" ht="14.4" thickBot="1" x14ac:dyDescent="0.35">
      <c r="B36" s="16">
        <v>34</v>
      </c>
      <c r="C36" s="9" t="s">
        <v>85</v>
      </c>
      <c r="D36" s="8"/>
      <c r="E36" s="141"/>
      <c r="M36" s="144" t="s">
        <v>86</v>
      </c>
      <c r="N36" s="145"/>
    </row>
    <row r="37" spans="2:14" ht="14.4" thickBot="1" x14ac:dyDescent="0.35">
      <c r="B37" s="16">
        <v>35</v>
      </c>
      <c r="C37" s="9" t="s">
        <v>87</v>
      </c>
      <c r="D37" s="8"/>
      <c r="E37" s="141"/>
      <c r="M37" s="138" t="s">
        <v>88</v>
      </c>
      <c r="N37" s="138" t="s">
        <v>89</v>
      </c>
    </row>
    <row r="38" spans="2:14" x14ac:dyDescent="0.3">
      <c r="B38" s="16">
        <v>36</v>
      </c>
      <c r="C38" s="9" t="s">
        <v>90</v>
      </c>
      <c r="D38" s="141"/>
      <c r="E38" s="8"/>
      <c r="H38" s="139"/>
      <c r="I38" s="139"/>
      <c r="M38" s="132"/>
      <c r="N38" s="133"/>
    </row>
    <row r="39" spans="2:14" x14ac:dyDescent="0.3">
      <c r="B39" s="16">
        <v>37</v>
      </c>
      <c r="C39" s="9" t="s">
        <v>91</v>
      </c>
      <c r="D39" s="141"/>
      <c r="E39" s="8"/>
      <c r="H39" s="139"/>
      <c r="I39" s="139"/>
      <c r="M39" s="134"/>
      <c r="N39" s="135"/>
    </row>
    <row r="40" spans="2:14" x14ac:dyDescent="0.3">
      <c r="B40" s="16">
        <v>38</v>
      </c>
      <c r="C40" s="9" t="s">
        <v>92</v>
      </c>
      <c r="D40" s="8"/>
      <c r="E40" s="141"/>
      <c r="H40" s="139"/>
      <c r="I40" s="139"/>
      <c r="M40" s="134"/>
      <c r="N40" s="135"/>
    </row>
    <row r="41" spans="2:14" x14ac:dyDescent="0.3">
      <c r="B41" s="16">
        <v>39</v>
      </c>
      <c r="C41" s="9" t="s">
        <v>93</v>
      </c>
      <c r="D41" s="8"/>
      <c r="E41" s="141"/>
      <c r="H41" s="139"/>
      <c r="I41" s="139"/>
      <c r="M41" s="134"/>
      <c r="N41" s="135"/>
    </row>
    <row r="42" spans="2:14" x14ac:dyDescent="0.3">
      <c r="B42" s="16">
        <v>40</v>
      </c>
      <c r="C42" s="9" t="s">
        <v>94</v>
      </c>
      <c r="D42" s="141"/>
      <c r="E42" s="141"/>
      <c r="H42" s="139"/>
      <c r="I42" s="139"/>
      <c r="M42" s="134"/>
      <c r="N42" s="135"/>
    </row>
    <row r="43" spans="2:14" x14ac:dyDescent="0.3">
      <c r="B43" s="16">
        <v>41</v>
      </c>
      <c r="C43" s="9" t="s">
        <v>95</v>
      </c>
      <c r="D43" s="8"/>
      <c r="E43" s="141"/>
      <c r="M43" s="134"/>
      <c r="N43" s="135"/>
    </row>
    <row r="44" spans="2:14" x14ac:dyDescent="0.3">
      <c r="B44" s="16">
        <v>42</v>
      </c>
      <c r="C44" s="9" t="s">
        <v>96</v>
      </c>
      <c r="D44" s="141"/>
      <c r="E44" s="8"/>
      <c r="M44" s="134"/>
      <c r="N44" s="135"/>
    </row>
    <row r="45" spans="2:14" ht="14.4" thickBot="1" x14ac:dyDescent="0.35">
      <c r="B45" s="16">
        <v>43</v>
      </c>
      <c r="C45" s="9" t="s">
        <v>97</v>
      </c>
      <c r="D45" s="141"/>
      <c r="E45" s="8"/>
      <c r="M45" s="136"/>
      <c r="N45" s="137"/>
    </row>
    <row r="46" spans="2:14" x14ac:dyDescent="0.3">
      <c r="B46" s="16">
        <v>44</v>
      </c>
      <c r="C46" s="9" t="s">
        <v>98</v>
      </c>
      <c r="D46" s="141"/>
      <c r="E46" s="8"/>
    </row>
    <row r="47" spans="2:14" x14ac:dyDescent="0.3">
      <c r="B47" s="16">
        <v>45</v>
      </c>
      <c r="C47" s="9" t="s">
        <v>99</v>
      </c>
      <c r="D47" s="141"/>
      <c r="E47" s="8"/>
    </row>
    <row r="48" spans="2:14" x14ac:dyDescent="0.3">
      <c r="B48" s="16">
        <v>46</v>
      </c>
      <c r="C48" s="9" t="s">
        <v>100</v>
      </c>
      <c r="D48" s="8"/>
      <c r="E48" s="141"/>
    </row>
    <row r="49" spans="2:5" x14ac:dyDescent="0.3">
      <c r="B49" s="16">
        <v>47</v>
      </c>
      <c r="C49" s="9" t="s">
        <v>101</v>
      </c>
      <c r="D49" s="141"/>
      <c r="E49" s="8"/>
    </row>
    <row r="50" spans="2:5" x14ac:dyDescent="0.3">
      <c r="B50" s="16">
        <v>48</v>
      </c>
      <c r="C50" s="9" t="s">
        <v>102</v>
      </c>
      <c r="D50" s="8"/>
      <c r="E50" s="141"/>
    </row>
    <row r="51" spans="2:5" x14ac:dyDescent="0.3">
      <c r="B51" s="16">
        <v>49</v>
      </c>
      <c r="C51" s="9" t="s">
        <v>103</v>
      </c>
      <c r="D51" s="8"/>
      <c r="E51" s="141"/>
    </row>
    <row r="52" spans="2:5" x14ac:dyDescent="0.3">
      <c r="B52" s="16">
        <v>50</v>
      </c>
      <c r="C52" s="9" t="s">
        <v>104</v>
      </c>
      <c r="D52" s="8"/>
      <c r="E52" s="141"/>
    </row>
    <row r="53" spans="2:5" x14ac:dyDescent="0.3">
      <c r="B53" s="16">
        <v>51</v>
      </c>
      <c r="C53" s="9" t="s">
        <v>105</v>
      </c>
      <c r="D53" s="141"/>
      <c r="E53" s="8"/>
    </row>
    <row r="54" spans="2:5" x14ac:dyDescent="0.3">
      <c r="B54" s="16">
        <v>52</v>
      </c>
      <c r="C54" s="9" t="s">
        <v>106</v>
      </c>
      <c r="D54" s="8"/>
      <c r="E54" s="141"/>
    </row>
    <row r="55" spans="2:5" x14ac:dyDescent="0.3">
      <c r="B55" s="16">
        <v>53</v>
      </c>
      <c r="C55" s="9" t="s">
        <v>107</v>
      </c>
      <c r="D55" s="8"/>
      <c r="E55" s="141"/>
    </row>
    <row r="56" spans="2:5" x14ac:dyDescent="0.3">
      <c r="B56" s="16">
        <v>54</v>
      </c>
      <c r="C56" s="9" t="s">
        <v>108</v>
      </c>
      <c r="D56" s="8"/>
      <c r="E56" s="141"/>
    </row>
    <row r="57" spans="2:5" x14ac:dyDescent="0.3">
      <c r="B57" s="16">
        <v>55</v>
      </c>
      <c r="C57" s="9" t="s">
        <v>109</v>
      </c>
      <c r="D57" s="8"/>
      <c r="E57" s="141"/>
    </row>
    <row r="58" spans="2:5" x14ac:dyDescent="0.3">
      <c r="B58" s="16">
        <v>56</v>
      </c>
      <c r="C58" s="9" t="s">
        <v>110</v>
      </c>
      <c r="D58" s="141"/>
      <c r="E58" s="8"/>
    </row>
    <row r="59" spans="2:5" x14ac:dyDescent="0.3">
      <c r="B59" s="16">
        <v>57</v>
      </c>
      <c r="C59" s="9" t="s">
        <v>111</v>
      </c>
      <c r="D59" s="8"/>
      <c r="E59" s="8"/>
    </row>
    <row r="60" spans="2:5" x14ac:dyDescent="0.3">
      <c r="B60" s="16">
        <v>58</v>
      </c>
      <c r="C60" s="9" t="s">
        <v>112</v>
      </c>
      <c r="D60" s="8"/>
      <c r="E60" s="8"/>
    </row>
    <row r="61" spans="2:5" x14ac:dyDescent="0.3">
      <c r="B61" s="16">
        <v>59</v>
      </c>
      <c r="C61" s="9" t="s">
        <v>113</v>
      </c>
      <c r="D61" s="8"/>
      <c r="E61" s="141"/>
    </row>
    <row r="62" spans="2:5" ht="27.6" x14ac:dyDescent="0.3">
      <c r="B62" s="16">
        <v>60</v>
      </c>
      <c r="C62" s="140" t="s">
        <v>114</v>
      </c>
      <c r="D62" s="8"/>
      <c r="E62" s="141"/>
    </row>
    <row r="63" spans="2:5" x14ac:dyDescent="0.3">
      <c r="B63" s="16">
        <v>61</v>
      </c>
      <c r="C63" s="9" t="s">
        <v>115</v>
      </c>
      <c r="D63" s="141"/>
      <c r="E63" s="8"/>
    </row>
    <row r="64" spans="2:5" x14ac:dyDescent="0.3">
      <c r="B64" s="16">
        <v>62</v>
      </c>
      <c r="C64" s="9" t="s">
        <v>116</v>
      </c>
      <c r="D64" s="8"/>
      <c r="E64" s="141"/>
    </row>
    <row r="65" spans="2:5" x14ac:dyDescent="0.3">
      <c r="B65" s="16">
        <v>63</v>
      </c>
      <c r="C65" s="9" t="s">
        <v>117</v>
      </c>
      <c r="D65" s="141"/>
      <c r="E65" s="8"/>
    </row>
    <row r="66" spans="2:5" x14ac:dyDescent="0.3">
      <c r="B66" s="16">
        <v>64</v>
      </c>
      <c r="C66" s="9" t="s">
        <v>118</v>
      </c>
      <c r="D66" s="8"/>
      <c r="E66" s="141"/>
    </row>
    <row r="67" spans="2:5" x14ac:dyDescent="0.3">
      <c r="B67" s="16">
        <v>65</v>
      </c>
      <c r="C67" s="9" t="s">
        <v>119</v>
      </c>
      <c r="D67" s="141"/>
      <c r="E67" s="8"/>
    </row>
    <row r="68" spans="2:5" x14ac:dyDescent="0.3">
      <c r="B68" s="16">
        <v>66</v>
      </c>
      <c r="C68" s="9" t="s">
        <v>120</v>
      </c>
      <c r="D68" s="8"/>
      <c r="E68" s="141"/>
    </row>
    <row r="69" spans="2:5" x14ac:dyDescent="0.3">
      <c r="B69" s="16">
        <v>67</v>
      </c>
      <c r="C69" s="9" t="s">
        <v>121</v>
      </c>
      <c r="D69" s="141"/>
      <c r="E69" s="8"/>
    </row>
    <row r="70" spans="2:5" x14ac:dyDescent="0.3">
      <c r="B70" s="16">
        <v>68</v>
      </c>
      <c r="C70" s="9" t="s">
        <v>122</v>
      </c>
      <c r="D70" s="8"/>
      <c r="E70" s="141"/>
    </row>
    <row r="71" spans="2:5" x14ac:dyDescent="0.3">
      <c r="B71" s="16">
        <v>69</v>
      </c>
      <c r="C71" s="9" t="s">
        <v>123</v>
      </c>
      <c r="D71" s="141"/>
      <c r="E71" s="8"/>
    </row>
    <row r="72" spans="2:5" x14ac:dyDescent="0.3">
      <c r="B72" s="16">
        <v>70</v>
      </c>
      <c r="C72" s="9" t="s">
        <v>124</v>
      </c>
      <c r="D72" s="8"/>
      <c r="E72" s="141"/>
    </row>
    <row r="73" spans="2:5" x14ac:dyDescent="0.3">
      <c r="B73" s="16">
        <v>71</v>
      </c>
      <c r="C73" s="9" t="s">
        <v>125</v>
      </c>
      <c r="D73" s="8"/>
      <c r="E73" s="141"/>
    </row>
    <row r="74" spans="2:5" x14ac:dyDescent="0.3">
      <c r="B74" s="16">
        <v>72</v>
      </c>
      <c r="C74" s="9" t="s">
        <v>126</v>
      </c>
      <c r="D74" s="141"/>
      <c r="E74" s="8"/>
    </row>
    <row r="75" spans="2:5" x14ac:dyDescent="0.3">
      <c r="B75" s="16">
        <v>73</v>
      </c>
      <c r="C75" s="9" t="s">
        <v>127</v>
      </c>
      <c r="D75" s="141"/>
      <c r="E75" s="8"/>
    </row>
    <row r="76" spans="2:5" x14ac:dyDescent="0.3">
      <c r="B76" s="16">
        <v>74</v>
      </c>
      <c r="C76" s="9" t="s">
        <v>128</v>
      </c>
      <c r="D76" s="8"/>
      <c r="E76" s="141"/>
    </row>
    <row r="77" spans="2:5" x14ac:dyDescent="0.3">
      <c r="B77" s="16">
        <v>75</v>
      </c>
      <c r="C77" s="9" t="s">
        <v>129</v>
      </c>
      <c r="D77" s="8"/>
      <c r="E77" s="141"/>
    </row>
    <row r="78" spans="2:5" x14ac:dyDescent="0.3">
      <c r="B78" s="16">
        <v>76</v>
      </c>
      <c r="C78" s="9" t="s">
        <v>130</v>
      </c>
      <c r="D78" s="8"/>
      <c r="E78" s="141"/>
    </row>
    <row r="79" spans="2:5" x14ac:dyDescent="0.3">
      <c r="B79" s="16">
        <v>77</v>
      </c>
      <c r="C79" s="9" t="s">
        <v>131</v>
      </c>
      <c r="D79" s="8"/>
      <c r="E79" s="141"/>
    </row>
    <row r="80" spans="2:5" x14ac:dyDescent="0.3">
      <c r="B80" s="16">
        <v>78</v>
      </c>
      <c r="C80" s="9" t="s">
        <v>132</v>
      </c>
      <c r="D80" s="141"/>
      <c r="E80" s="8"/>
    </row>
    <row r="81" spans="2:5" x14ac:dyDescent="0.3">
      <c r="B81" s="16">
        <v>79</v>
      </c>
      <c r="C81" s="9" t="s">
        <v>133</v>
      </c>
      <c r="D81" s="8"/>
      <c r="E81" s="8"/>
    </row>
    <row r="82" spans="2:5" x14ac:dyDescent="0.3">
      <c r="B82" s="16">
        <v>80</v>
      </c>
      <c r="C82" s="9" t="s">
        <v>134</v>
      </c>
      <c r="D82" s="141"/>
      <c r="E82" s="8"/>
    </row>
    <row r="83" spans="2:5" x14ac:dyDescent="0.3">
      <c r="B83" s="16">
        <v>81</v>
      </c>
      <c r="C83" s="9" t="s">
        <v>135</v>
      </c>
      <c r="D83" s="141"/>
      <c r="E83" s="8"/>
    </row>
    <row r="84" spans="2:5" x14ac:dyDescent="0.3">
      <c r="B84" s="16">
        <v>82</v>
      </c>
      <c r="C84" s="9" t="s">
        <v>136</v>
      </c>
      <c r="D84" s="141"/>
      <c r="E84" s="8"/>
    </row>
    <row r="85" spans="2:5" x14ac:dyDescent="0.3">
      <c r="B85" s="16">
        <v>83</v>
      </c>
      <c r="C85" s="9" t="s">
        <v>137</v>
      </c>
      <c r="D85" s="8"/>
      <c r="E85" s="141"/>
    </row>
    <row r="86" spans="2:5" x14ac:dyDescent="0.3">
      <c r="B86" s="16">
        <v>84</v>
      </c>
      <c r="C86" s="9" t="s">
        <v>138</v>
      </c>
      <c r="D86" s="8"/>
      <c r="E86" s="141"/>
    </row>
    <row r="87" spans="2:5" x14ac:dyDescent="0.3">
      <c r="B87" s="16">
        <v>85</v>
      </c>
      <c r="C87" s="9" t="s">
        <v>139</v>
      </c>
      <c r="D87" s="8"/>
      <c r="E87" s="141"/>
    </row>
    <row r="88" spans="2:5" x14ac:dyDescent="0.3">
      <c r="B88" s="16">
        <v>86</v>
      </c>
      <c r="C88" s="9" t="s">
        <v>140</v>
      </c>
      <c r="D88" s="8"/>
      <c r="E88" s="141"/>
    </row>
    <row r="89" spans="2:5" x14ac:dyDescent="0.3">
      <c r="B89" s="16">
        <v>87</v>
      </c>
      <c r="C89" s="9" t="s">
        <v>141</v>
      </c>
      <c r="D89" s="8"/>
      <c r="E89" s="141"/>
    </row>
    <row r="90" spans="2:5" x14ac:dyDescent="0.3">
      <c r="B90" s="16">
        <v>88</v>
      </c>
      <c r="C90" s="9" t="s">
        <v>142</v>
      </c>
      <c r="D90" s="141"/>
      <c r="E90" s="8"/>
    </row>
    <row r="91" spans="2:5" x14ac:dyDescent="0.3">
      <c r="B91" s="16">
        <v>89</v>
      </c>
      <c r="C91" s="9" t="s">
        <v>143</v>
      </c>
      <c r="D91" s="8"/>
      <c r="E91" s="141"/>
    </row>
    <row r="92" spans="2:5" x14ac:dyDescent="0.3">
      <c r="B92" s="16">
        <v>90</v>
      </c>
      <c r="C92" s="9" t="s">
        <v>144</v>
      </c>
      <c r="D92" s="141"/>
      <c r="E92" s="8"/>
    </row>
    <row r="93" spans="2:5" x14ac:dyDescent="0.3">
      <c r="B93" s="16">
        <v>91</v>
      </c>
      <c r="C93" s="9" t="s">
        <v>145</v>
      </c>
      <c r="D93" s="8"/>
      <c r="E93" s="141"/>
    </row>
    <row r="94" spans="2:5" x14ac:dyDescent="0.3">
      <c r="B94" s="16">
        <v>92</v>
      </c>
      <c r="C94" s="9" t="s">
        <v>146</v>
      </c>
      <c r="D94" s="8"/>
      <c r="E94" s="141"/>
    </row>
    <row r="95" spans="2:5" x14ac:dyDescent="0.3">
      <c r="B95" s="16">
        <v>93</v>
      </c>
      <c r="C95" s="9" t="s">
        <v>147</v>
      </c>
      <c r="D95" s="141"/>
      <c r="E95" s="8"/>
    </row>
    <row r="96" spans="2:5" x14ac:dyDescent="0.3">
      <c r="B96" s="16">
        <v>94</v>
      </c>
      <c r="C96" s="9" t="s">
        <v>148</v>
      </c>
      <c r="D96" s="141"/>
      <c r="E96" s="8"/>
    </row>
    <row r="97" spans="2:5" ht="14.4" thickBot="1" x14ac:dyDescent="0.35">
      <c r="B97" s="17">
        <v>95</v>
      </c>
      <c r="C97" s="11" t="s">
        <v>149</v>
      </c>
      <c r="D97" s="143"/>
      <c r="E97" s="75"/>
    </row>
  </sheetData>
  <autoFilter ref="B2:E97" xr:uid="{00000000-0009-0000-0000-000000000000}"/>
  <mergeCells count="20">
    <mergeCell ref="M17:N17"/>
    <mergeCell ref="M18:N18"/>
    <mergeCell ref="M19:N19"/>
    <mergeCell ref="M5:N5"/>
    <mergeCell ref="M6:N6"/>
    <mergeCell ref="M8:N8"/>
    <mergeCell ref="M9:N9"/>
    <mergeCell ref="M11:N11"/>
    <mergeCell ref="M12:N12"/>
    <mergeCell ref="M2:N2"/>
    <mergeCell ref="M3:N3"/>
    <mergeCell ref="M14:N14"/>
    <mergeCell ref="M15:N15"/>
    <mergeCell ref="M16:N16"/>
    <mergeCell ref="M36:N36"/>
    <mergeCell ref="M20:N20"/>
    <mergeCell ref="M21:N21"/>
    <mergeCell ref="M22:N22"/>
    <mergeCell ref="M23:N23"/>
    <mergeCell ref="M25:N25"/>
  </mergeCells>
  <conditionalFormatting sqref="K3:K21">
    <cfRule type="expression" dxfId="26" priority="4">
      <formula>J3&gt;=0.3</formula>
    </cfRule>
    <cfRule type="expression" dxfId="25" priority="5">
      <formula>AND(J3&gt;0,J3&lt;0.3)</formula>
    </cfRule>
    <cfRule type="expression" priority="6">
      <formula>J3=0</formula>
    </cfRule>
  </conditionalFormatting>
  <conditionalFormatting sqref="K24:K35">
    <cfRule type="expression" dxfId="24" priority="1">
      <formula>J24&gt;=0.3</formula>
    </cfRule>
    <cfRule type="expression" dxfId="23" priority="2">
      <formula>AND(J24&gt;0,J24&lt;0.3)</formula>
    </cfRule>
    <cfRule type="expression" priority="3">
      <formula>J24=0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1"/>
  <sheetViews>
    <sheetView topLeftCell="B1" zoomScale="80" zoomScaleNormal="80" workbookViewId="0">
      <selection activeCell="B2" sqref="B2:B9"/>
    </sheetView>
  </sheetViews>
  <sheetFormatPr baseColWidth="10" defaultColWidth="8.88671875" defaultRowHeight="14.4" x14ac:dyDescent="0.3"/>
  <cols>
    <col min="1" max="1" width="0.6640625" customWidth="1"/>
    <col min="2" max="2" width="82.6640625" customWidth="1"/>
  </cols>
  <sheetData>
    <row r="1" spans="2:3" ht="3" customHeight="1" thickBot="1" x14ac:dyDescent="0.35"/>
    <row r="2" spans="2:3" ht="12.75" customHeight="1" x14ac:dyDescent="0.3">
      <c r="B2" s="162" t="s">
        <v>150</v>
      </c>
    </row>
    <row r="3" spans="2:3" ht="12.75" customHeight="1" x14ac:dyDescent="0.3">
      <c r="B3" s="163"/>
    </row>
    <row r="4" spans="2:3" ht="12.75" customHeight="1" x14ac:dyDescent="0.3">
      <c r="B4" s="163"/>
    </row>
    <row r="5" spans="2:3" ht="12.75" customHeight="1" x14ac:dyDescent="0.3">
      <c r="B5" s="163"/>
    </row>
    <row r="6" spans="2:3" ht="12.75" customHeight="1" x14ac:dyDescent="0.3">
      <c r="B6" s="163"/>
    </row>
    <row r="7" spans="2:3" ht="12.75" customHeight="1" x14ac:dyDescent="0.3">
      <c r="B7" s="163"/>
      <c r="C7" s="78"/>
    </row>
    <row r="8" spans="2:3" ht="12.75" customHeight="1" x14ac:dyDescent="0.3">
      <c r="B8" s="163"/>
    </row>
    <row r="9" spans="2:3" ht="15" thickBot="1" x14ac:dyDescent="0.35">
      <c r="B9" s="164"/>
    </row>
    <row r="10" spans="2:3" x14ac:dyDescent="0.3">
      <c r="B10" s="79"/>
    </row>
    <row r="11" spans="2:3" x14ac:dyDescent="0.3">
      <c r="B11" s="79"/>
    </row>
    <row r="12" spans="2:3" x14ac:dyDescent="0.3">
      <c r="B12" s="79"/>
    </row>
    <row r="13" spans="2:3" x14ac:dyDescent="0.3">
      <c r="B13" s="79"/>
    </row>
    <row r="14" spans="2:3" x14ac:dyDescent="0.3">
      <c r="B14" s="79"/>
    </row>
    <row r="15" spans="2:3" x14ac:dyDescent="0.3">
      <c r="B15" s="79"/>
    </row>
    <row r="16" spans="2:3" x14ac:dyDescent="0.3">
      <c r="B16" s="79"/>
    </row>
    <row r="17" spans="2:2" x14ac:dyDescent="0.3">
      <c r="B17" s="79"/>
    </row>
    <row r="18" spans="2:2" x14ac:dyDescent="0.3">
      <c r="B18" s="79"/>
    </row>
    <row r="19" spans="2:2" x14ac:dyDescent="0.3">
      <c r="B19" s="79"/>
    </row>
    <row r="20" spans="2:2" x14ac:dyDescent="0.3">
      <c r="B20" s="79"/>
    </row>
    <row r="21" spans="2:2" x14ac:dyDescent="0.3">
      <c r="B21" s="79"/>
    </row>
  </sheetData>
  <mergeCells count="1">
    <mergeCell ref="B2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AJ110"/>
  <sheetViews>
    <sheetView zoomScale="80" zoomScaleNormal="80" workbookViewId="0">
      <pane ySplit="2" topLeftCell="A3" activePane="bottomLeft" state="frozen"/>
      <selection pane="bottomLeft" activeCell="B2" sqref="B2"/>
    </sheetView>
  </sheetViews>
  <sheetFormatPr baseColWidth="10" defaultColWidth="9.109375" defaultRowHeight="13.8" x14ac:dyDescent="0.3"/>
  <cols>
    <col min="1" max="1" width="0.6640625" style="4" customWidth="1"/>
    <col min="2" max="2" width="9.44140625" style="29" customWidth="1"/>
    <col min="3" max="3" width="10.6640625" style="3" customWidth="1"/>
    <col min="4" max="5" width="11.33203125" style="3" customWidth="1"/>
    <col min="6" max="6" width="11.6640625" style="3" customWidth="1"/>
    <col min="7" max="7" width="11.33203125" style="3" customWidth="1"/>
    <col min="8" max="8" width="12.6640625" style="3" customWidth="1"/>
    <col min="9" max="18" width="11.33203125" style="3" customWidth="1"/>
    <col min="19" max="20" width="10.6640625" style="3" customWidth="1"/>
    <col min="21" max="21" width="12.6640625" style="3" customWidth="1"/>
    <col min="22" max="23" width="18.6640625" style="3" customWidth="1"/>
    <col min="24" max="24" width="15.6640625" style="3" customWidth="1"/>
    <col min="25" max="25" width="29.44140625" style="3" bestFit="1" customWidth="1"/>
    <col min="26" max="26" width="20.6640625" style="3" customWidth="1"/>
    <col min="27" max="27" width="19.109375" style="3" customWidth="1"/>
    <col min="28" max="28" width="20.109375" style="3" bestFit="1" customWidth="1"/>
    <col min="29" max="29" width="24.44140625" style="3" bestFit="1" customWidth="1"/>
    <col min="30" max="30" width="17.88671875" style="3" bestFit="1" customWidth="1"/>
    <col min="31" max="31" width="15.44140625" style="3" customWidth="1"/>
    <col min="32" max="32" width="20.44140625" style="3" bestFit="1" customWidth="1"/>
    <col min="33" max="33" width="25.33203125" style="3" bestFit="1" customWidth="1"/>
    <col min="34" max="34" width="1.6640625" style="3" customWidth="1"/>
    <col min="35" max="35" width="7.33203125" style="3" customWidth="1"/>
    <col min="36" max="36" width="2.6640625" style="3" customWidth="1"/>
    <col min="37" max="37" width="15.44140625" style="4" bestFit="1" customWidth="1"/>
    <col min="38" max="16384" width="9.109375" style="4"/>
  </cols>
  <sheetData>
    <row r="1" spans="2:36" ht="3" customHeight="1" thickBot="1" x14ac:dyDescent="0.35"/>
    <row r="2" spans="2:36" s="2" customFormat="1" ht="30" customHeight="1" thickBot="1" x14ac:dyDescent="0.35">
      <c r="B2" s="18" t="s">
        <v>151</v>
      </c>
      <c r="C2" s="22" t="s">
        <v>11</v>
      </c>
      <c r="D2" s="21" t="s">
        <v>14</v>
      </c>
      <c r="E2" s="21" t="s">
        <v>16</v>
      </c>
      <c r="F2" s="21" t="s">
        <v>19</v>
      </c>
      <c r="G2" s="21" t="s">
        <v>21</v>
      </c>
      <c r="H2" s="21" t="s">
        <v>23</v>
      </c>
      <c r="I2" s="21" t="s">
        <v>26</v>
      </c>
      <c r="J2" s="21" t="s">
        <v>28</v>
      </c>
      <c r="K2" s="21" t="s">
        <v>30</v>
      </c>
      <c r="L2" s="21" t="s">
        <v>33</v>
      </c>
      <c r="M2" s="21" t="s">
        <v>35</v>
      </c>
      <c r="N2" s="21" t="s">
        <v>37</v>
      </c>
      <c r="O2" s="21" t="s">
        <v>40</v>
      </c>
      <c r="P2" s="21" t="s">
        <v>42</v>
      </c>
      <c r="Q2" s="21" t="s">
        <v>44</v>
      </c>
      <c r="R2" s="21" t="s">
        <v>46</v>
      </c>
      <c r="S2" s="21" t="s">
        <v>48</v>
      </c>
      <c r="T2" s="21" t="s">
        <v>50</v>
      </c>
      <c r="U2" s="100" t="s">
        <v>52</v>
      </c>
      <c r="V2" s="116" t="s">
        <v>59</v>
      </c>
      <c r="W2" s="117" t="s">
        <v>61</v>
      </c>
      <c r="X2" s="117" t="s">
        <v>64</v>
      </c>
      <c r="Y2" s="117" t="s">
        <v>68</v>
      </c>
      <c r="Z2" s="117" t="s">
        <v>70</v>
      </c>
      <c r="AA2" s="117" t="s">
        <v>72</v>
      </c>
      <c r="AB2" s="117" t="s">
        <v>74</v>
      </c>
      <c r="AC2" s="117" t="s">
        <v>76</v>
      </c>
      <c r="AD2" s="117" t="s">
        <v>78</v>
      </c>
      <c r="AE2" s="117" t="s">
        <v>80</v>
      </c>
      <c r="AF2" s="117" t="s">
        <v>82</v>
      </c>
      <c r="AG2" s="118" t="s">
        <v>84</v>
      </c>
      <c r="AH2" s="1"/>
      <c r="AI2" s="28" t="s">
        <v>152</v>
      </c>
      <c r="AJ2" s="1"/>
    </row>
    <row r="3" spans="2:36" ht="12.75" customHeight="1" x14ac:dyDescent="0.3">
      <c r="B3" s="23">
        <v>1</v>
      </c>
      <c r="C3" s="30" t="str">
        <f>IF($AI$3="","",1)</f>
        <v/>
      </c>
      <c r="D3" s="113"/>
      <c r="E3" s="113"/>
      <c r="F3" s="32" t="str">
        <f>IF($AI$3="","",1)</f>
        <v/>
      </c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32" t="str">
        <f>IF($AI$3="","",1)</f>
        <v/>
      </c>
      <c r="U3" s="114"/>
      <c r="V3" s="122" t="str">
        <f>IF($AI$3="","",1)</f>
        <v/>
      </c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5"/>
      <c r="AI3" s="26" t="str">
        <f>IF('Questionário &amp; Resultados'!D3="x",1,"")</f>
        <v/>
      </c>
    </row>
    <row r="4" spans="2:36" ht="12.75" customHeight="1" x14ac:dyDescent="0.3">
      <c r="B4" s="24">
        <v>2</v>
      </c>
      <c r="C4" s="30" t="str">
        <f>IF($AI$4="","",1)</f>
        <v/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101"/>
      <c r="V4" s="105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3"/>
      <c r="AI4" s="5" t="str">
        <f>IF('Questionário &amp; Resultados'!D4="x",1,"")</f>
        <v/>
      </c>
    </row>
    <row r="5" spans="2:36" ht="12.75" customHeight="1" x14ac:dyDescent="0.3">
      <c r="B5" s="24">
        <v>3</v>
      </c>
      <c r="C5" s="31"/>
      <c r="D5" s="32" t="str">
        <f>IF($AI$5="","",1)</f>
        <v/>
      </c>
      <c r="E5" s="31"/>
      <c r="F5" s="32" t="str">
        <f>IF($AI$5="","",1)</f>
        <v/>
      </c>
      <c r="G5" s="31"/>
      <c r="H5" s="32" t="str">
        <f>IF($AI$5="","",1)</f>
        <v/>
      </c>
      <c r="I5" s="31"/>
      <c r="J5" s="32" t="str">
        <f>IF($AI$5="","",1)</f>
        <v/>
      </c>
      <c r="K5" s="31"/>
      <c r="L5" s="32" t="str">
        <f>IF($AI$5="","",1)</f>
        <v/>
      </c>
      <c r="M5" s="31"/>
      <c r="N5" s="32" t="str">
        <f>IF($AI$5="","",1)</f>
        <v/>
      </c>
      <c r="O5" s="31"/>
      <c r="P5" s="31"/>
      <c r="Q5" s="32" t="str">
        <f>IF($AI$5="","",1)</f>
        <v/>
      </c>
      <c r="R5" s="31"/>
      <c r="S5" s="31"/>
      <c r="T5" s="31"/>
      <c r="U5" s="101"/>
      <c r="V5" s="105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3"/>
      <c r="AI5" s="5" t="str">
        <f>IF('Questionário &amp; Resultados'!D5="x",1,"")</f>
        <v/>
      </c>
    </row>
    <row r="6" spans="2:36" ht="12.75" customHeight="1" x14ac:dyDescent="0.3">
      <c r="B6" s="24">
        <v>4</v>
      </c>
      <c r="C6" s="31"/>
      <c r="D6" s="32" t="str">
        <f>IF($AI$6="","",1)</f>
        <v/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101"/>
      <c r="V6" s="105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3"/>
      <c r="AI6" s="5" t="str">
        <f>IF('Questionário &amp; Resultados'!D6="x",1,"")</f>
        <v/>
      </c>
    </row>
    <row r="7" spans="2:36" ht="12.75" customHeight="1" x14ac:dyDescent="0.3">
      <c r="B7" s="24">
        <v>5</v>
      </c>
      <c r="C7" s="31"/>
      <c r="D7" s="32" t="str">
        <f>IF($AI$7="","",1)</f>
        <v/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101"/>
      <c r="V7" s="105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3"/>
      <c r="AI7" s="5" t="str">
        <f>IF('Questionário &amp; Resultados'!D7="x",1,"")</f>
        <v/>
      </c>
    </row>
    <row r="8" spans="2:36" ht="12.75" customHeight="1" x14ac:dyDescent="0.3">
      <c r="B8" s="24">
        <v>6</v>
      </c>
      <c r="C8" s="31"/>
      <c r="D8" s="32" t="str">
        <f>IF($AI$8="","",1)</f>
        <v/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2" t="str">
        <f>IF($AI$8="","",1)</f>
        <v/>
      </c>
      <c r="R8" s="31"/>
      <c r="S8" s="31"/>
      <c r="T8" s="31"/>
      <c r="U8" s="101"/>
      <c r="V8" s="105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3"/>
      <c r="AI8" s="5" t="str">
        <f>IF('Questionário &amp; Resultados'!D8="x",1,"")</f>
        <v/>
      </c>
    </row>
    <row r="9" spans="2:36" ht="12.75" customHeight="1" x14ac:dyDescent="0.3">
      <c r="B9" s="24">
        <v>7</v>
      </c>
      <c r="C9" s="31"/>
      <c r="D9" s="31"/>
      <c r="E9" s="31"/>
      <c r="F9" s="31"/>
      <c r="G9" s="31"/>
      <c r="H9" s="32" t="str">
        <f>IF($AI$9="","",1)</f>
        <v/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101"/>
      <c r="V9" s="105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3"/>
      <c r="AI9" s="5" t="str">
        <f>IF('Questionário &amp; Resultados'!D9="x",1,"")</f>
        <v/>
      </c>
    </row>
    <row r="10" spans="2:36" ht="12.75" customHeight="1" x14ac:dyDescent="0.3">
      <c r="B10" s="24">
        <v>8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2" t="str">
        <f>IF($AI$10="","",1)</f>
        <v/>
      </c>
      <c r="N10" s="31"/>
      <c r="O10" s="31"/>
      <c r="P10" s="31"/>
      <c r="Q10" s="31"/>
      <c r="R10" s="31"/>
      <c r="S10" s="31"/>
      <c r="T10" s="31"/>
      <c r="U10" s="101"/>
      <c r="V10" s="105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3"/>
      <c r="AI10" s="5" t="str">
        <f>IF('Questionário &amp; Resultados'!D10="x",1,"")</f>
        <v/>
      </c>
    </row>
    <row r="11" spans="2:36" ht="12.75" customHeight="1" x14ac:dyDescent="0.3">
      <c r="B11" s="24">
        <v>9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102" t="str">
        <f>IF($AI$11="","",1)</f>
        <v/>
      </c>
      <c r="V11" s="105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3"/>
      <c r="AI11" s="5" t="str">
        <f>IF('Questionário &amp; Resultados'!D11="x",1,"")</f>
        <v/>
      </c>
    </row>
    <row r="12" spans="2:36" ht="12.75" customHeight="1" x14ac:dyDescent="0.3">
      <c r="B12" s="24">
        <v>10</v>
      </c>
      <c r="C12" s="31"/>
      <c r="D12" s="31"/>
      <c r="E12" s="32" t="str">
        <f>IF($AI$12="","",1)</f>
        <v/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101"/>
      <c r="V12" s="105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3"/>
      <c r="AI12" s="5" t="str">
        <f>IF('Questionário &amp; Resultados'!D12="x",1,"")</f>
        <v/>
      </c>
    </row>
    <row r="13" spans="2:36" ht="12.75" customHeight="1" x14ac:dyDescent="0.3">
      <c r="B13" s="24">
        <v>11</v>
      </c>
      <c r="C13" s="31"/>
      <c r="D13" s="32" t="str">
        <f>IF($AI$13="","",1)</f>
        <v/>
      </c>
      <c r="E13" s="31"/>
      <c r="F13" s="31"/>
      <c r="G13" s="32" t="str">
        <f>IF($AI$13="","",1)</f>
        <v/>
      </c>
      <c r="H13" s="31"/>
      <c r="I13" s="31"/>
      <c r="J13" s="31"/>
      <c r="K13" s="31"/>
      <c r="L13" s="31"/>
      <c r="M13" s="31"/>
      <c r="N13" s="32" t="str">
        <f>IF($AI$13="","",1)</f>
        <v/>
      </c>
      <c r="O13" s="31"/>
      <c r="P13" s="31"/>
      <c r="Q13" s="32" t="str">
        <f>IF($AI$13="","",1)</f>
        <v/>
      </c>
      <c r="R13" s="31"/>
      <c r="S13" s="31"/>
      <c r="T13" s="31"/>
      <c r="U13" s="101"/>
      <c r="V13" s="105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3"/>
      <c r="AI13" s="5" t="str">
        <f>IF('Questionário &amp; Resultados'!D13="x",1,"")</f>
        <v/>
      </c>
    </row>
    <row r="14" spans="2:36" ht="12.75" customHeight="1" x14ac:dyDescent="0.3">
      <c r="B14" s="24">
        <v>12</v>
      </c>
      <c r="C14" s="31"/>
      <c r="D14" s="34" t="str">
        <f>IF($AI$14="","",1)</f>
        <v/>
      </c>
      <c r="E14" s="31"/>
      <c r="F14" s="31"/>
      <c r="G14" s="31"/>
      <c r="H14" s="31"/>
      <c r="I14" s="31"/>
      <c r="J14" s="31"/>
      <c r="K14" s="34" t="str">
        <f>IF($AI$14="","",1)</f>
        <v/>
      </c>
      <c r="L14" s="31"/>
      <c r="M14" s="31"/>
      <c r="N14" s="31"/>
      <c r="O14" s="31"/>
      <c r="P14" s="31"/>
      <c r="Q14" s="31"/>
      <c r="R14" s="31"/>
      <c r="S14" s="31"/>
      <c r="T14" s="31"/>
      <c r="U14" s="101"/>
      <c r="V14" s="105"/>
      <c r="W14" s="31"/>
      <c r="X14" s="34" t="str">
        <f>IF($AI$14="","",1)</f>
        <v/>
      </c>
      <c r="Y14" s="31"/>
      <c r="Z14" s="31"/>
      <c r="AA14" s="31"/>
      <c r="AB14" s="34" t="str">
        <f>IF($AI$14="","",1)</f>
        <v/>
      </c>
      <c r="AC14" s="31"/>
      <c r="AD14" s="31"/>
      <c r="AE14" s="31"/>
      <c r="AF14" s="34" t="str">
        <f>IF($AI$14="","",1)</f>
        <v/>
      </c>
      <c r="AG14" s="33"/>
      <c r="AI14" s="5" t="str">
        <f>IF('Questionário &amp; Resultados'!D14="x",1,"")</f>
        <v/>
      </c>
    </row>
    <row r="15" spans="2:36" ht="12.75" customHeight="1" x14ac:dyDescent="0.3">
      <c r="B15" s="24">
        <v>13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4" t="str">
        <f>IF($AI$15="","",1)</f>
        <v/>
      </c>
      <c r="O15" s="31"/>
      <c r="P15" s="31"/>
      <c r="Q15" s="31"/>
      <c r="R15" s="31"/>
      <c r="S15" s="31"/>
      <c r="T15" s="31"/>
      <c r="U15" s="101"/>
      <c r="V15" s="105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3"/>
      <c r="AI15" s="5" t="str">
        <f>IF('Questionário &amp; Resultados'!D15="x",1,"")</f>
        <v/>
      </c>
    </row>
    <row r="16" spans="2:36" ht="12.75" customHeight="1" x14ac:dyDescent="0.3">
      <c r="B16" s="24">
        <v>14</v>
      </c>
      <c r="C16" s="34" t="str">
        <f>IF($AI$16="","",1)</f>
        <v/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101"/>
      <c r="V16" s="105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3"/>
      <c r="AI16" s="5" t="str">
        <f>IF('Questionário &amp; Resultados'!D16="x",1,"")</f>
        <v/>
      </c>
    </row>
    <row r="17" spans="2:35" ht="12.75" customHeight="1" x14ac:dyDescent="0.3">
      <c r="B17" s="24">
        <v>15</v>
      </c>
      <c r="C17" s="31"/>
      <c r="D17" s="31"/>
      <c r="E17" s="34" t="str">
        <f>IF($AI$17="","",1)</f>
        <v/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4" t="str">
        <f>IF($AI$17="","",1)</f>
        <v/>
      </c>
      <c r="T17" s="31"/>
      <c r="U17" s="101"/>
      <c r="V17" s="105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3"/>
      <c r="AI17" s="5" t="str">
        <f>IF('Questionário &amp; Resultados'!D17="x",1,"")</f>
        <v/>
      </c>
    </row>
    <row r="18" spans="2:35" s="3" customFormat="1" ht="12.75" customHeight="1" x14ac:dyDescent="0.3">
      <c r="B18" s="24">
        <v>16</v>
      </c>
      <c r="C18" s="31"/>
      <c r="D18" s="31"/>
      <c r="E18" s="31"/>
      <c r="F18" s="31"/>
      <c r="G18" s="31"/>
      <c r="H18" s="31"/>
      <c r="I18" s="35" t="str">
        <f>IF($AI$18="","",1)</f>
        <v/>
      </c>
      <c r="J18" s="31"/>
      <c r="K18" s="35" t="str">
        <f>IF($AI$18="","",1)</f>
        <v/>
      </c>
      <c r="L18" s="31"/>
      <c r="M18" s="31"/>
      <c r="N18" s="31"/>
      <c r="O18" s="31"/>
      <c r="P18" s="31"/>
      <c r="Q18" s="31"/>
      <c r="R18" s="31"/>
      <c r="S18" s="31"/>
      <c r="T18" s="35" t="str">
        <f>IF($AI$18="","",1)</f>
        <v/>
      </c>
      <c r="U18" s="101"/>
      <c r="V18" s="105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3"/>
      <c r="AI18" s="5" t="str">
        <f>IF('Questionário &amp; Resultados'!D18="x",1,"")</f>
        <v/>
      </c>
    </row>
    <row r="19" spans="2:35" s="3" customFormat="1" ht="12.75" customHeight="1" x14ac:dyDescent="0.3">
      <c r="B19" s="25">
        <v>17</v>
      </c>
      <c r="C19" s="36" t="str">
        <f>IF($AI$19="","",1)</f>
        <v/>
      </c>
      <c r="D19" s="31"/>
      <c r="E19" s="31"/>
      <c r="F19" s="31"/>
      <c r="G19" s="31"/>
      <c r="H19" s="31"/>
      <c r="I19" s="36" t="str">
        <f>IF($AI$19="","",1)</f>
        <v/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6" t="str">
        <f>IF($AI$19="","",1)</f>
        <v/>
      </c>
      <c r="U19" s="101"/>
      <c r="V19" s="106" t="str">
        <f>IF($AI$19="","",1)</f>
        <v/>
      </c>
      <c r="W19" s="31"/>
      <c r="X19" s="31"/>
      <c r="Y19" s="36" t="str">
        <f>IF($AI$19="","",1)</f>
        <v/>
      </c>
      <c r="Z19" s="31"/>
      <c r="AA19" s="31"/>
      <c r="AB19" s="31"/>
      <c r="AC19" s="31"/>
      <c r="AD19" s="31"/>
      <c r="AE19" s="31"/>
      <c r="AF19" s="31"/>
      <c r="AG19" s="33"/>
      <c r="AI19" s="5" t="str">
        <f>IF('Questionário &amp; Resultados'!D19="x",1,"")</f>
        <v/>
      </c>
    </row>
    <row r="20" spans="2:35" s="3" customFormat="1" ht="12.75" customHeight="1" x14ac:dyDescent="0.3">
      <c r="B20" s="25">
        <v>18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4" t="str">
        <f>IF($AI$20="","",1)</f>
        <v/>
      </c>
      <c r="R20" s="34" t="str">
        <f>IF($AI$20="","",1)</f>
        <v/>
      </c>
      <c r="S20" s="31"/>
      <c r="T20" s="31"/>
      <c r="U20" s="101"/>
      <c r="V20" s="105"/>
      <c r="W20" s="31"/>
      <c r="X20" s="31"/>
      <c r="Y20" s="31"/>
      <c r="Z20" s="31"/>
      <c r="AA20" s="31"/>
      <c r="AB20" s="31"/>
      <c r="AC20" s="31"/>
      <c r="AD20" s="31"/>
      <c r="AE20" s="31"/>
      <c r="AF20" s="34" t="str">
        <f>IF($AI$20="","",1)</f>
        <v/>
      </c>
      <c r="AG20" s="33"/>
      <c r="AI20" s="5" t="str">
        <f>IF('Questionário &amp; Resultados'!D20="x",1,"")</f>
        <v/>
      </c>
    </row>
    <row r="21" spans="2:35" s="3" customFormat="1" ht="12.75" customHeight="1" x14ac:dyDescent="0.3">
      <c r="B21" s="25">
        <v>19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4" t="str">
        <f>IF($AI$21="","",1)</f>
        <v/>
      </c>
      <c r="R21" s="34" t="str">
        <f>IF($AI$21="","",1)</f>
        <v/>
      </c>
      <c r="S21" s="31"/>
      <c r="T21" s="31"/>
      <c r="U21" s="101"/>
      <c r="V21" s="105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3"/>
      <c r="AI21" s="5" t="str">
        <f>IF('Questionário &amp; Resultados'!D21="x",1,"")</f>
        <v/>
      </c>
    </row>
    <row r="22" spans="2:35" s="3" customFormat="1" ht="12.75" customHeight="1" x14ac:dyDescent="0.3">
      <c r="B22" s="25">
        <v>20</v>
      </c>
      <c r="C22" s="31"/>
      <c r="D22" s="31"/>
      <c r="E22" s="31"/>
      <c r="F22" s="34" t="str">
        <f>IF($AI$22="","",1)</f>
        <v/>
      </c>
      <c r="G22" s="34" t="str">
        <f>IF($AI$22="","",1)</f>
        <v/>
      </c>
      <c r="H22" s="31"/>
      <c r="I22" s="31"/>
      <c r="J22" s="31"/>
      <c r="K22" s="31"/>
      <c r="L22" s="34" t="str">
        <f>IF($AI$22="","",1)</f>
        <v/>
      </c>
      <c r="M22" s="31"/>
      <c r="N22" s="31"/>
      <c r="O22" s="31"/>
      <c r="P22" s="31"/>
      <c r="Q22" s="34" t="str">
        <f>IF($AI$22="","",1)</f>
        <v/>
      </c>
      <c r="R22" s="31"/>
      <c r="S22" s="31"/>
      <c r="T22" s="31"/>
      <c r="U22" s="101"/>
      <c r="V22" s="105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3"/>
      <c r="AI22" s="5" t="str">
        <f>IF('Questionário &amp; Resultados'!D22="x",1,"")</f>
        <v/>
      </c>
    </row>
    <row r="23" spans="2:35" s="3" customFormat="1" ht="12.75" customHeight="1" x14ac:dyDescent="0.3">
      <c r="B23" s="25">
        <v>21</v>
      </c>
      <c r="C23" s="31"/>
      <c r="D23" s="31"/>
      <c r="E23" s="34" t="str">
        <f>IF($AI$23="","",1)</f>
        <v/>
      </c>
      <c r="F23" s="31"/>
      <c r="G23" s="31"/>
      <c r="H23" s="34" t="str">
        <f>IF($AI$23="","",1)</f>
        <v/>
      </c>
      <c r="I23" s="31"/>
      <c r="J23" s="31"/>
      <c r="K23" s="31"/>
      <c r="L23" s="31"/>
      <c r="M23" s="34" t="str">
        <f>IF($AI$23="","",1)</f>
        <v/>
      </c>
      <c r="N23" s="31"/>
      <c r="O23" s="31"/>
      <c r="P23" s="31"/>
      <c r="Q23" s="31"/>
      <c r="R23" s="31"/>
      <c r="S23" s="31"/>
      <c r="T23" s="31"/>
      <c r="U23" s="101"/>
      <c r="V23" s="105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3"/>
      <c r="AI23" s="5" t="str">
        <f>IF('Questionário &amp; Resultados'!D23="x",1,"")</f>
        <v/>
      </c>
    </row>
    <row r="24" spans="2:35" s="3" customFormat="1" ht="12.75" customHeight="1" x14ac:dyDescent="0.3">
      <c r="B24" s="25">
        <v>22</v>
      </c>
      <c r="C24" s="34" t="str">
        <f>IF($AI$24="","",1)</f>
        <v/>
      </c>
      <c r="D24" s="31"/>
      <c r="E24" s="31"/>
      <c r="F24" s="34" t="str">
        <f>IF($AI$24="","",1)</f>
        <v/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101"/>
      <c r="V24" s="105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3"/>
      <c r="AI24" s="5" t="str">
        <f>IF('Questionário &amp; Resultados'!D24="x",1,"")</f>
        <v/>
      </c>
    </row>
    <row r="25" spans="2:35" s="3" customFormat="1" ht="12.75" customHeight="1" x14ac:dyDescent="0.3">
      <c r="B25" s="25">
        <v>23</v>
      </c>
      <c r="C25" s="31"/>
      <c r="D25" s="31"/>
      <c r="E25" s="31"/>
      <c r="F25" s="31"/>
      <c r="G25" s="34" t="str">
        <f>IF($AI$25="","",1)</f>
        <v/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101"/>
      <c r="V25" s="105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3"/>
      <c r="AI25" s="5" t="str">
        <f>IF('Questionário &amp; Resultados'!D25="x",1,"")</f>
        <v/>
      </c>
    </row>
    <row r="26" spans="2:35" s="3" customFormat="1" ht="12.75" customHeight="1" x14ac:dyDescent="0.3">
      <c r="B26" s="25">
        <v>24</v>
      </c>
      <c r="C26" s="31"/>
      <c r="D26" s="34" t="str">
        <f>IF($AI$26="","",1)</f>
        <v/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103" t="str">
        <f>IF($AI$26="","",1)</f>
        <v/>
      </c>
      <c r="V26" s="105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3"/>
      <c r="AI26" s="5" t="str">
        <f>IF('Questionário &amp; Resultados'!D26="x",1,"")</f>
        <v/>
      </c>
    </row>
    <row r="27" spans="2:35" s="3" customFormat="1" ht="12.75" customHeight="1" x14ac:dyDescent="0.3">
      <c r="B27" s="25">
        <v>25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4" t="str">
        <f>IF($AI$27="","",1)</f>
        <v/>
      </c>
      <c r="U27" s="101"/>
      <c r="V27" s="105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3"/>
      <c r="AI27" s="5" t="str">
        <f>IF('Questionário &amp; Resultados'!D27="x",1,"")</f>
        <v/>
      </c>
    </row>
    <row r="28" spans="2:35" s="3" customFormat="1" ht="12.75" customHeight="1" x14ac:dyDescent="0.3">
      <c r="B28" s="25">
        <v>26</v>
      </c>
      <c r="C28" s="31"/>
      <c r="D28" s="31"/>
      <c r="E28" s="31"/>
      <c r="F28" s="34" t="str">
        <f>IF($AI$28="","",1)</f>
        <v/>
      </c>
      <c r="G28" s="31"/>
      <c r="H28" s="31"/>
      <c r="I28" s="31"/>
      <c r="J28" s="34" t="str">
        <f>IF($AI$28="","",1)</f>
        <v/>
      </c>
      <c r="K28" s="31"/>
      <c r="L28" s="31"/>
      <c r="M28" s="31"/>
      <c r="N28" s="34" t="str">
        <f>IF($AI$28="","",1)</f>
        <v/>
      </c>
      <c r="O28" s="31"/>
      <c r="P28" s="31"/>
      <c r="Q28" s="34" t="str">
        <f>IF($AI$28="","",1)</f>
        <v/>
      </c>
      <c r="R28" s="31"/>
      <c r="S28" s="31"/>
      <c r="T28" s="31"/>
      <c r="U28" s="101"/>
      <c r="V28" s="105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3"/>
      <c r="AI28" s="5" t="str">
        <f>IF('Questionário &amp; Resultados'!D28="x",1,"")</f>
        <v/>
      </c>
    </row>
    <row r="29" spans="2:35" s="3" customFormat="1" ht="12.75" customHeight="1" x14ac:dyDescent="0.3">
      <c r="B29" s="25">
        <v>27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4" t="str">
        <f>IF($AI$29="","",1)</f>
        <v/>
      </c>
      <c r="S29" s="31"/>
      <c r="T29" s="31"/>
      <c r="U29" s="101"/>
      <c r="V29" s="105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3"/>
      <c r="AI29" s="5" t="str">
        <f>IF('Questionário &amp; Resultados'!D29="x",1,"")</f>
        <v/>
      </c>
    </row>
    <row r="30" spans="2:35" s="3" customFormat="1" ht="12.75" customHeight="1" x14ac:dyDescent="0.3">
      <c r="B30" s="25">
        <v>28</v>
      </c>
      <c r="C30" s="31"/>
      <c r="D30" s="34" t="str">
        <f>IF($AI$30="","",1)</f>
        <v/>
      </c>
      <c r="E30" s="31"/>
      <c r="F30" s="31"/>
      <c r="G30" s="31"/>
      <c r="H30" s="31"/>
      <c r="I30" s="31"/>
      <c r="J30" s="31"/>
      <c r="K30" s="31"/>
      <c r="L30" s="34" t="str">
        <f>IF($AI$30="","",1)</f>
        <v/>
      </c>
      <c r="M30" s="31"/>
      <c r="N30" s="31"/>
      <c r="O30" s="31"/>
      <c r="P30" s="31"/>
      <c r="Q30" s="31"/>
      <c r="R30" s="31"/>
      <c r="S30" s="31"/>
      <c r="T30" s="31"/>
      <c r="U30" s="101"/>
      <c r="V30" s="105"/>
      <c r="W30" s="31"/>
      <c r="X30" s="31"/>
      <c r="Y30" s="34" t="str">
        <f>IF($AI$30="","",1)</f>
        <v/>
      </c>
      <c r="Z30" s="31"/>
      <c r="AA30" s="34" t="str">
        <f>IF($AI$30="","",1)</f>
        <v/>
      </c>
      <c r="AB30" s="31"/>
      <c r="AC30" s="31"/>
      <c r="AD30" s="31"/>
      <c r="AE30" s="31"/>
      <c r="AF30" s="31"/>
      <c r="AG30" s="33"/>
      <c r="AI30" s="5" t="str">
        <f>IF('Questionário &amp; Resultados'!D30="x",1,"")</f>
        <v/>
      </c>
    </row>
    <row r="31" spans="2:35" s="3" customFormat="1" ht="12.75" customHeight="1" x14ac:dyDescent="0.3">
      <c r="B31" s="25">
        <v>29</v>
      </c>
      <c r="C31" s="31"/>
      <c r="D31" s="31"/>
      <c r="E31" s="31"/>
      <c r="F31" s="31"/>
      <c r="G31" s="31"/>
      <c r="H31" s="31"/>
      <c r="I31" s="31"/>
      <c r="J31" s="34" t="str">
        <f>IF($AI$31="","",1)</f>
        <v/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101"/>
      <c r="V31" s="106" t="str">
        <f>IF($AI$31="","",1)</f>
        <v/>
      </c>
      <c r="W31" s="31"/>
      <c r="X31" s="31"/>
      <c r="Y31" s="31"/>
      <c r="Z31" s="31"/>
      <c r="AA31" s="31"/>
      <c r="AB31" s="31"/>
      <c r="AC31" s="34" t="str">
        <f>IF($AI$31="","",1)</f>
        <v/>
      </c>
      <c r="AD31" s="31"/>
      <c r="AE31" s="31"/>
      <c r="AF31" s="31"/>
      <c r="AG31" s="33"/>
      <c r="AI31" s="5" t="str">
        <f>IF('Questionário &amp; Resultados'!D31="x",1,"")</f>
        <v/>
      </c>
    </row>
    <row r="32" spans="2:35" s="3" customFormat="1" ht="12.75" customHeight="1" x14ac:dyDescent="0.3">
      <c r="B32" s="25">
        <v>30</v>
      </c>
      <c r="C32" s="31"/>
      <c r="D32" s="31"/>
      <c r="E32" s="31"/>
      <c r="F32" s="31"/>
      <c r="G32" s="31"/>
      <c r="H32" s="31"/>
      <c r="I32" s="31"/>
      <c r="J32" s="34" t="str">
        <f>IF($AI$32="","",1)</f>
        <v/>
      </c>
      <c r="K32" s="31"/>
      <c r="L32" s="31"/>
      <c r="M32" s="31"/>
      <c r="N32" s="34" t="str">
        <f>IF($AI$32="","",1)</f>
        <v/>
      </c>
      <c r="O32" s="31"/>
      <c r="P32" s="31"/>
      <c r="Q32" s="31"/>
      <c r="R32" s="31"/>
      <c r="S32" s="31"/>
      <c r="T32" s="31"/>
      <c r="U32" s="103" t="str">
        <f>IF($AI$32="","",1)</f>
        <v/>
      </c>
      <c r="V32" s="106" t="str">
        <f>IF($AI$32="","",1)</f>
        <v/>
      </c>
      <c r="W32" s="31"/>
      <c r="X32" s="31"/>
      <c r="Y32" s="31"/>
      <c r="Z32" s="31"/>
      <c r="AA32" s="31"/>
      <c r="AB32" s="31"/>
      <c r="AC32" s="34" t="str">
        <f>IF($AI$32="","",1)</f>
        <v/>
      </c>
      <c r="AD32" s="31"/>
      <c r="AE32" s="31"/>
      <c r="AF32" s="31"/>
      <c r="AG32" s="33"/>
      <c r="AI32" s="5" t="str">
        <f>IF('Questionário &amp; Resultados'!D32="x",1,"")</f>
        <v/>
      </c>
    </row>
    <row r="33" spans="2:35" s="3" customFormat="1" ht="12.75" customHeight="1" x14ac:dyDescent="0.3">
      <c r="B33" s="25">
        <v>31</v>
      </c>
      <c r="C33" s="31"/>
      <c r="D33" s="34" t="str">
        <f>IF($AI$33="","",1)</f>
        <v/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101"/>
      <c r="V33" s="105"/>
      <c r="W33" s="31"/>
      <c r="X33" s="31"/>
      <c r="Y33" s="31"/>
      <c r="Z33" s="31"/>
      <c r="AA33" s="31"/>
      <c r="AB33" s="31"/>
      <c r="AC33" s="31"/>
      <c r="AD33" s="34" t="str">
        <f>IF($AI$33="","",1)</f>
        <v/>
      </c>
      <c r="AE33" s="31"/>
      <c r="AF33" s="31"/>
      <c r="AG33" s="33"/>
      <c r="AI33" s="5" t="str">
        <f>IF('Questionário &amp; Resultados'!D33="x",1,"")</f>
        <v/>
      </c>
    </row>
    <row r="34" spans="2:35" s="3" customFormat="1" ht="12.75" customHeight="1" x14ac:dyDescent="0.3">
      <c r="B34" s="25">
        <v>32</v>
      </c>
      <c r="C34" s="31"/>
      <c r="D34" s="31"/>
      <c r="E34" s="34" t="str">
        <f>IF($AI$34="","",1)</f>
        <v/>
      </c>
      <c r="F34" s="31"/>
      <c r="G34" s="31"/>
      <c r="H34" s="34" t="str">
        <f>IF($AI$34="","",1)</f>
        <v/>
      </c>
      <c r="I34" s="31"/>
      <c r="J34" s="31"/>
      <c r="K34" s="31"/>
      <c r="L34" s="34" t="str">
        <f>IF($AI$34="","",1)</f>
        <v/>
      </c>
      <c r="M34" s="31"/>
      <c r="N34" s="31"/>
      <c r="O34" s="31"/>
      <c r="P34" s="31"/>
      <c r="Q34" s="31"/>
      <c r="R34" s="31"/>
      <c r="S34" s="31"/>
      <c r="T34" s="31"/>
      <c r="U34" s="103" t="str">
        <f>IF($AI$34="","",1)</f>
        <v/>
      </c>
      <c r="V34" s="105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3"/>
      <c r="AI34" s="5" t="str">
        <f>IF('Questionário &amp; Resultados'!D34="x",1,"")</f>
        <v/>
      </c>
    </row>
    <row r="35" spans="2:35" s="3" customFormat="1" ht="12.75" customHeight="1" x14ac:dyDescent="0.3">
      <c r="B35" s="25">
        <v>33</v>
      </c>
      <c r="C35" s="31"/>
      <c r="D35" s="31"/>
      <c r="E35" s="31"/>
      <c r="F35" s="31"/>
      <c r="G35" s="31"/>
      <c r="H35" s="31"/>
      <c r="I35" s="31"/>
      <c r="J35" s="31"/>
      <c r="K35" s="31"/>
      <c r="L35" s="34" t="str">
        <f>IF($AI$35="","",1)</f>
        <v/>
      </c>
      <c r="M35" s="34" t="str">
        <f>IF($AI$35="","",1)</f>
        <v/>
      </c>
      <c r="N35" s="31"/>
      <c r="O35" s="34" t="str">
        <f>IF($AI$35="","",1)</f>
        <v/>
      </c>
      <c r="P35" s="31"/>
      <c r="Q35" s="31"/>
      <c r="R35" s="31"/>
      <c r="S35" s="31"/>
      <c r="T35" s="31"/>
      <c r="U35" s="101"/>
      <c r="V35" s="105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3"/>
      <c r="AI35" s="5" t="str">
        <f>IF('Questionário &amp; Resultados'!D35="x",1,"")</f>
        <v/>
      </c>
    </row>
    <row r="36" spans="2:35" s="3" customFormat="1" ht="12.75" customHeight="1" x14ac:dyDescent="0.3">
      <c r="B36" s="25">
        <v>34</v>
      </c>
      <c r="C36" s="31"/>
      <c r="D36" s="31"/>
      <c r="E36" s="31"/>
      <c r="F36" s="31"/>
      <c r="G36" s="31"/>
      <c r="H36" s="31"/>
      <c r="I36" s="34" t="str">
        <f>IF($AI$36="","",1)</f>
        <v/>
      </c>
      <c r="J36" s="31"/>
      <c r="K36" s="34" t="str">
        <f>IF($AI$36="","",1)</f>
        <v/>
      </c>
      <c r="L36" s="31"/>
      <c r="M36" s="31"/>
      <c r="N36" s="31"/>
      <c r="O36" s="31"/>
      <c r="P36" s="31"/>
      <c r="Q36" s="31"/>
      <c r="R36" s="31"/>
      <c r="S36" s="31"/>
      <c r="T36" s="31"/>
      <c r="U36" s="101"/>
      <c r="V36" s="105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3"/>
      <c r="AI36" s="5" t="str">
        <f>IF('Questionário &amp; Resultados'!D36="x",1,"")</f>
        <v/>
      </c>
    </row>
    <row r="37" spans="2:35" s="3" customFormat="1" ht="12.75" customHeight="1" x14ac:dyDescent="0.3">
      <c r="B37" s="25">
        <v>35</v>
      </c>
      <c r="C37" s="31"/>
      <c r="D37" s="31"/>
      <c r="E37" s="31"/>
      <c r="F37" s="31"/>
      <c r="G37" s="31"/>
      <c r="H37" s="31"/>
      <c r="I37" s="31"/>
      <c r="J37" s="34" t="str">
        <f>IF($AI$37="","",1)</f>
        <v/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101"/>
      <c r="V37" s="105"/>
      <c r="W37" s="31"/>
      <c r="X37" s="31"/>
      <c r="Y37" s="31"/>
      <c r="Z37" s="31"/>
      <c r="AA37" s="31"/>
      <c r="AB37" s="31"/>
      <c r="AC37" s="31"/>
      <c r="AD37" s="31"/>
      <c r="AE37" s="31"/>
      <c r="AF37" s="34" t="str">
        <f>IF($AI$37="","",1)</f>
        <v/>
      </c>
      <c r="AG37" s="33"/>
      <c r="AI37" s="5" t="str">
        <f>IF('Questionário &amp; Resultados'!D37="x",1,"")</f>
        <v/>
      </c>
    </row>
    <row r="38" spans="2:35" s="3" customFormat="1" ht="12.75" customHeight="1" x14ac:dyDescent="0.3">
      <c r="B38" s="25">
        <v>36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4" t="str">
        <f>IF($AI$38="","",1)</f>
        <v/>
      </c>
      <c r="U38" s="101"/>
      <c r="V38" s="105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3"/>
      <c r="AI38" s="5" t="str">
        <f>IF('Questionário &amp; Resultados'!D38="x",1,"")</f>
        <v/>
      </c>
    </row>
    <row r="39" spans="2:35" s="3" customFormat="1" ht="12.75" customHeight="1" x14ac:dyDescent="0.3">
      <c r="B39" s="25">
        <v>37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4" t="str">
        <f>IF($AI$39="","",1)</f>
        <v/>
      </c>
      <c r="Q39" s="31"/>
      <c r="R39" s="31"/>
      <c r="S39" s="31"/>
      <c r="T39" s="31"/>
      <c r="U39" s="101"/>
      <c r="V39" s="105"/>
      <c r="W39" s="31"/>
      <c r="X39" s="34" t="str">
        <f>IF($AI$39="","",1)</f>
        <v/>
      </c>
      <c r="Y39" s="31"/>
      <c r="Z39" s="31"/>
      <c r="AA39" s="31"/>
      <c r="AB39" s="34" t="str">
        <f>IF($AI$39="","",1)</f>
        <v/>
      </c>
      <c r="AC39" s="31"/>
      <c r="AD39" s="31"/>
      <c r="AE39" s="31"/>
      <c r="AF39" s="31"/>
      <c r="AG39" s="33"/>
      <c r="AI39" s="5" t="str">
        <f>IF('Questionário &amp; Resultados'!D39="x",1,"")</f>
        <v/>
      </c>
    </row>
    <row r="40" spans="2:35" s="3" customFormat="1" ht="12.75" customHeight="1" x14ac:dyDescent="0.3">
      <c r="B40" s="25">
        <v>38</v>
      </c>
      <c r="C40" s="31"/>
      <c r="D40" s="31"/>
      <c r="E40" s="31"/>
      <c r="F40" s="31"/>
      <c r="G40" s="31"/>
      <c r="H40" s="31"/>
      <c r="I40" s="31"/>
      <c r="J40" s="31"/>
      <c r="K40" s="34" t="str">
        <f>IF($AI$40="","",1)</f>
        <v/>
      </c>
      <c r="L40" s="31"/>
      <c r="M40" s="31"/>
      <c r="N40" s="31"/>
      <c r="O40" s="31"/>
      <c r="P40" s="31"/>
      <c r="Q40" s="31"/>
      <c r="R40" s="31"/>
      <c r="S40" s="31"/>
      <c r="T40" s="31"/>
      <c r="U40" s="101"/>
      <c r="V40" s="105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3"/>
      <c r="AI40" s="5" t="str">
        <f>IF('Questionário &amp; Resultados'!D40="x",1,"")</f>
        <v/>
      </c>
    </row>
    <row r="41" spans="2:35" s="3" customFormat="1" ht="12.75" customHeight="1" x14ac:dyDescent="0.3">
      <c r="B41" s="25">
        <v>39</v>
      </c>
      <c r="C41" s="31"/>
      <c r="D41" s="31"/>
      <c r="E41" s="31"/>
      <c r="F41" s="31"/>
      <c r="G41" s="31"/>
      <c r="H41" s="31"/>
      <c r="I41" s="31"/>
      <c r="J41" s="31"/>
      <c r="K41" s="31"/>
      <c r="L41" s="34" t="str">
        <f>IF($AI$41="","",1)</f>
        <v/>
      </c>
      <c r="M41" s="34" t="str">
        <f>IF($AI$41="","",1)</f>
        <v/>
      </c>
      <c r="N41" s="31"/>
      <c r="O41" s="31"/>
      <c r="P41" s="34" t="str">
        <f>IF($AI$41="","",1)</f>
        <v/>
      </c>
      <c r="Q41" s="31"/>
      <c r="R41" s="31"/>
      <c r="S41" s="31"/>
      <c r="T41" s="31"/>
      <c r="U41" s="101"/>
      <c r="V41" s="105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3"/>
      <c r="AI41" s="5" t="str">
        <f>IF('Questionário &amp; Resultados'!D41="x",1,"")</f>
        <v/>
      </c>
    </row>
    <row r="42" spans="2:35" s="3" customFormat="1" ht="12.75" customHeight="1" x14ac:dyDescent="0.3">
      <c r="B42" s="25">
        <v>40</v>
      </c>
      <c r="C42" s="31"/>
      <c r="D42" s="34" t="str">
        <f>IF($AI$42="","",1)</f>
        <v/>
      </c>
      <c r="E42" s="31"/>
      <c r="F42" s="34" t="str">
        <f>IF($AI$42="","",1)</f>
        <v/>
      </c>
      <c r="G42" s="34" t="str">
        <f>IF($AI$42="","",1)</f>
        <v/>
      </c>
      <c r="H42" s="34" t="str">
        <f>IF($AI$42="","",1)</f>
        <v/>
      </c>
      <c r="I42" s="34" t="str">
        <f>IF($AI$42="","",1)</f>
        <v/>
      </c>
      <c r="J42" s="31"/>
      <c r="K42" s="31"/>
      <c r="L42" s="34" t="str">
        <f>IF($AI$42="","",1)</f>
        <v/>
      </c>
      <c r="M42" s="31"/>
      <c r="N42" s="31"/>
      <c r="O42" s="31"/>
      <c r="P42" s="31"/>
      <c r="Q42" s="31"/>
      <c r="R42" s="31"/>
      <c r="S42" s="31"/>
      <c r="T42" s="31"/>
      <c r="U42" s="101"/>
      <c r="V42" s="105"/>
      <c r="W42" s="31"/>
      <c r="X42" s="34" t="str">
        <f>IF($AI$42="","",1)</f>
        <v/>
      </c>
      <c r="Y42" s="31"/>
      <c r="Z42" s="31"/>
      <c r="AA42" s="31"/>
      <c r="AB42" s="34" t="str">
        <f>IF($AI$42="","",1)</f>
        <v/>
      </c>
      <c r="AC42" s="31"/>
      <c r="AD42" s="31"/>
      <c r="AE42" s="31"/>
      <c r="AF42" s="31"/>
      <c r="AG42" s="33"/>
      <c r="AI42" s="5" t="str">
        <f>IF('Questionário &amp; Resultados'!D42="x",1,"")</f>
        <v/>
      </c>
    </row>
    <row r="43" spans="2:35" s="3" customFormat="1" ht="12.75" customHeight="1" x14ac:dyDescent="0.3">
      <c r="B43" s="25">
        <v>41</v>
      </c>
      <c r="C43" s="31"/>
      <c r="D43" s="34" t="str">
        <f>IF($AI$43="","",1)</f>
        <v/>
      </c>
      <c r="E43" s="31"/>
      <c r="F43" s="34" t="str">
        <f>IF($AI$43="","",1)</f>
        <v/>
      </c>
      <c r="G43" s="31"/>
      <c r="H43" s="31"/>
      <c r="I43" s="31"/>
      <c r="J43" s="31"/>
      <c r="K43" s="31"/>
      <c r="L43" s="34" t="str">
        <f>IF($AI$43="","",1)</f>
        <v/>
      </c>
      <c r="M43" s="31"/>
      <c r="N43" s="31"/>
      <c r="O43" s="31"/>
      <c r="P43" s="31"/>
      <c r="Q43" s="31"/>
      <c r="R43" s="31"/>
      <c r="S43" s="31"/>
      <c r="T43" s="31"/>
      <c r="U43" s="101"/>
      <c r="V43" s="105"/>
      <c r="W43" s="31"/>
      <c r="X43" s="31"/>
      <c r="Y43" s="31"/>
      <c r="Z43" s="31"/>
      <c r="AA43" s="31"/>
      <c r="AB43" s="34" t="str">
        <f>IF($AI$43="","",1)</f>
        <v/>
      </c>
      <c r="AC43" s="31"/>
      <c r="AD43" s="31"/>
      <c r="AE43" s="31"/>
      <c r="AF43" s="31"/>
      <c r="AG43" s="33"/>
      <c r="AI43" s="5" t="str">
        <f>IF('Questionário &amp; Resultados'!D43="x",1,"")</f>
        <v/>
      </c>
    </row>
    <row r="44" spans="2:35" s="3" customFormat="1" ht="12.75" customHeight="1" x14ac:dyDescent="0.3">
      <c r="B44" s="25">
        <v>42</v>
      </c>
      <c r="C44" s="31"/>
      <c r="D44" s="34" t="str">
        <f>IF($AI$44="","",1)</f>
        <v/>
      </c>
      <c r="E44" s="31"/>
      <c r="F44" s="31"/>
      <c r="G44" s="34" t="str">
        <f>IF($AI$44="","",1)</f>
        <v/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101"/>
      <c r="V44" s="105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3"/>
      <c r="AI44" s="5" t="str">
        <f>IF('Questionário &amp; Resultados'!D44="x",1,"")</f>
        <v/>
      </c>
    </row>
    <row r="45" spans="2:35" s="3" customFormat="1" ht="12.75" customHeight="1" x14ac:dyDescent="0.3">
      <c r="B45" s="25">
        <v>43</v>
      </c>
      <c r="C45" s="31"/>
      <c r="D45" s="34" t="str">
        <f>IF($AI$45="","",1)</f>
        <v/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101"/>
      <c r="V45" s="105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3"/>
      <c r="AI45" s="5" t="str">
        <f>IF('Questionário &amp; Resultados'!D45="x",1,"")</f>
        <v/>
      </c>
    </row>
    <row r="46" spans="2:35" s="3" customFormat="1" ht="12.75" customHeight="1" x14ac:dyDescent="0.3">
      <c r="B46" s="25">
        <v>44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4" t="str">
        <f>IF($AI$46="","",1)</f>
        <v/>
      </c>
      <c r="R46" s="31"/>
      <c r="S46" s="31"/>
      <c r="T46" s="31"/>
      <c r="U46" s="101"/>
      <c r="V46" s="105"/>
      <c r="W46" s="31"/>
      <c r="X46" s="31"/>
      <c r="Y46" s="31"/>
      <c r="Z46" s="31"/>
      <c r="AA46" s="31"/>
      <c r="AB46" s="31"/>
      <c r="AC46" s="31"/>
      <c r="AD46" s="31"/>
      <c r="AE46" s="31"/>
      <c r="AF46" s="34" t="str">
        <f>IF($AI$46="","",1)</f>
        <v/>
      </c>
      <c r="AG46" s="33"/>
      <c r="AI46" s="5" t="str">
        <f>IF('Questionário &amp; Resultados'!D46="x",1,"")</f>
        <v/>
      </c>
    </row>
    <row r="47" spans="2:35" s="3" customFormat="1" ht="12.75" customHeight="1" x14ac:dyDescent="0.3">
      <c r="B47" s="25">
        <v>45</v>
      </c>
      <c r="C47" s="31"/>
      <c r="D47" s="31"/>
      <c r="E47" s="31"/>
      <c r="F47" s="34" t="str">
        <f>IF($AI$47="","",1)</f>
        <v/>
      </c>
      <c r="G47" s="31"/>
      <c r="H47" s="31"/>
      <c r="I47" s="34" t="str">
        <f>IF($AI$47="","",1)</f>
        <v/>
      </c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101"/>
      <c r="V47" s="105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3"/>
      <c r="AI47" s="5" t="str">
        <f>IF('Questionário &amp; Resultados'!D47="x",1,"")</f>
        <v/>
      </c>
    </row>
    <row r="48" spans="2:35" s="3" customFormat="1" ht="12.75" customHeight="1" x14ac:dyDescent="0.3">
      <c r="B48" s="25">
        <v>46</v>
      </c>
      <c r="C48" s="31"/>
      <c r="D48" s="31"/>
      <c r="E48" s="31"/>
      <c r="F48" s="31"/>
      <c r="G48" s="31"/>
      <c r="H48" s="31"/>
      <c r="I48" s="34" t="str">
        <f>IF($AI$48="","",1)</f>
        <v/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101"/>
      <c r="V48" s="105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3"/>
      <c r="AI48" s="5" t="str">
        <f>IF('Questionário &amp; Resultados'!D48="x",1,"")</f>
        <v/>
      </c>
    </row>
    <row r="49" spans="2:35" s="3" customFormat="1" ht="12.75" customHeight="1" x14ac:dyDescent="0.3">
      <c r="B49" s="25">
        <v>47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4" t="str">
        <f>IF($AI$49="","",1)</f>
        <v/>
      </c>
      <c r="T49" s="31"/>
      <c r="U49" s="101"/>
      <c r="V49" s="105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3"/>
      <c r="AI49" s="5" t="str">
        <f>IF('Questionário &amp; Resultados'!D49="x",1,"")</f>
        <v/>
      </c>
    </row>
    <row r="50" spans="2:35" s="3" customFormat="1" ht="12.75" customHeight="1" x14ac:dyDescent="0.3">
      <c r="B50" s="25">
        <v>48</v>
      </c>
      <c r="C50" s="34" t="str">
        <f>IF($AI$50="","",1)</f>
        <v/>
      </c>
      <c r="D50" s="31"/>
      <c r="E50" s="31"/>
      <c r="F50" s="31"/>
      <c r="G50" s="31"/>
      <c r="H50" s="31"/>
      <c r="I50" s="34" t="str">
        <f>IF($AI$50="","",1)</f>
        <v/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4" t="str">
        <f>IF($AI$50="","",1)</f>
        <v/>
      </c>
      <c r="U50" s="103" t="str">
        <f>IF($AI$50="","",1)</f>
        <v/>
      </c>
      <c r="V50" s="106" t="str">
        <f>IF($AI$50="","",1)</f>
        <v/>
      </c>
      <c r="W50" s="31"/>
      <c r="X50" s="31"/>
      <c r="Y50" s="34" t="str">
        <f>IF($AI$50="","",1)</f>
        <v/>
      </c>
      <c r="Z50" s="31"/>
      <c r="AA50" s="31"/>
      <c r="AB50" s="31"/>
      <c r="AC50" s="31"/>
      <c r="AD50" s="31"/>
      <c r="AE50" s="31"/>
      <c r="AF50" s="31"/>
      <c r="AG50" s="33"/>
      <c r="AI50" s="5" t="str">
        <f>IF('Questionário &amp; Resultados'!D50="x",1,"")</f>
        <v/>
      </c>
    </row>
    <row r="51" spans="2:35" s="3" customFormat="1" ht="12.75" customHeight="1" x14ac:dyDescent="0.3">
      <c r="B51" s="25">
        <v>49</v>
      </c>
      <c r="C51" s="31"/>
      <c r="D51" s="31"/>
      <c r="E51" s="31"/>
      <c r="F51" s="31"/>
      <c r="G51" s="31"/>
      <c r="H51" s="31"/>
      <c r="I51" s="31"/>
      <c r="J51" s="31"/>
      <c r="K51" s="34" t="str">
        <f>IF($AI$51="","",1)</f>
        <v/>
      </c>
      <c r="L51" s="31"/>
      <c r="M51" s="31"/>
      <c r="N51" s="31"/>
      <c r="O51" s="31"/>
      <c r="P51" s="31"/>
      <c r="Q51" s="31"/>
      <c r="R51" s="31"/>
      <c r="S51" s="31"/>
      <c r="T51" s="31"/>
      <c r="U51" s="101"/>
      <c r="V51" s="105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3"/>
      <c r="AI51" s="5" t="str">
        <f>IF('Questionário &amp; Resultados'!D51="x",1,"")</f>
        <v/>
      </c>
    </row>
    <row r="52" spans="2:35" s="3" customFormat="1" ht="12.75" customHeight="1" x14ac:dyDescent="0.3">
      <c r="B52" s="25">
        <v>50</v>
      </c>
      <c r="C52" s="31"/>
      <c r="D52" s="31"/>
      <c r="E52" s="31"/>
      <c r="F52" s="34" t="str">
        <f>IF($AI$52="","",1)</f>
        <v/>
      </c>
      <c r="G52" s="31"/>
      <c r="H52" s="31"/>
      <c r="I52" s="31"/>
      <c r="J52" s="31"/>
      <c r="K52" s="31"/>
      <c r="L52" s="31"/>
      <c r="M52" s="31"/>
      <c r="N52" s="34" t="str">
        <f>IF($AI$52="","",1)</f>
        <v/>
      </c>
      <c r="O52" s="31"/>
      <c r="P52" s="31"/>
      <c r="Q52" s="34" t="str">
        <f>IF($AI$52="","",1)</f>
        <v/>
      </c>
      <c r="R52" s="31"/>
      <c r="S52" s="31"/>
      <c r="T52" s="31"/>
      <c r="U52" s="101"/>
      <c r="V52" s="105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3"/>
      <c r="AI52" s="5" t="str">
        <f>IF('Questionário &amp; Resultados'!D52="x",1,"")</f>
        <v/>
      </c>
    </row>
    <row r="53" spans="2:35" s="3" customFormat="1" ht="12.75" customHeight="1" x14ac:dyDescent="0.3">
      <c r="B53" s="25">
        <v>51</v>
      </c>
      <c r="C53" s="31"/>
      <c r="D53" s="34" t="str">
        <f>IF($AI$53="","",1)</f>
        <v/>
      </c>
      <c r="E53" s="31"/>
      <c r="F53" s="34" t="str">
        <f>IF($AI$53="","",1)</f>
        <v/>
      </c>
      <c r="G53" s="34" t="str">
        <f>IF($AI$53="","",1)</f>
        <v/>
      </c>
      <c r="H53" s="34" t="str">
        <f>IF($AI$53="","",1)</f>
        <v/>
      </c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101"/>
      <c r="V53" s="105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3"/>
      <c r="AI53" s="5" t="str">
        <f>IF('Questionário &amp; Resultados'!D53="x",1,"")</f>
        <v/>
      </c>
    </row>
    <row r="54" spans="2:35" s="3" customFormat="1" ht="12.75" customHeight="1" x14ac:dyDescent="0.3">
      <c r="B54" s="25">
        <v>52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4" t="str">
        <f>IF($AI$54="","",1)</f>
        <v/>
      </c>
      <c r="S54" s="31"/>
      <c r="T54" s="31"/>
      <c r="U54" s="101"/>
      <c r="V54" s="106" t="str">
        <f>IF($AI$54="","",1)</f>
        <v/>
      </c>
      <c r="W54" s="31"/>
      <c r="X54" s="31"/>
      <c r="Y54" s="31"/>
      <c r="Z54" s="31"/>
      <c r="AA54" s="31"/>
      <c r="AB54" s="31"/>
      <c r="AC54" s="34" t="str">
        <f>IF($AI$54="","",1)</f>
        <v/>
      </c>
      <c r="AD54" s="31"/>
      <c r="AE54" s="31"/>
      <c r="AF54" s="31"/>
      <c r="AG54" s="33"/>
      <c r="AI54" s="5" t="str">
        <f>IF('Questionário &amp; Resultados'!D54="x",1,"")</f>
        <v/>
      </c>
    </row>
    <row r="55" spans="2:35" s="3" customFormat="1" ht="12.75" customHeight="1" x14ac:dyDescent="0.3">
      <c r="B55" s="25">
        <v>53</v>
      </c>
      <c r="C55" s="31"/>
      <c r="D55" s="31"/>
      <c r="E55" s="34" t="str">
        <f>IF($AI$55="","",1)</f>
        <v/>
      </c>
      <c r="F55" s="31"/>
      <c r="G55" s="31"/>
      <c r="H55" s="31"/>
      <c r="I55" s="31"/>
      <c r="J55" s="31"/>
      <c r="K55" s="31"/>
      <c r="L55" s="34" t="str">
        <f>IF($AI$55="","",1)</f>
        <v/>
      </c>
      <c r="M55" s="31"/>
      <c r="N55" s="31"/>
      <c r="O55" s="31"/>
      <c r="P55" s="31"/>
      <c r="Q55" s="31"/>
      <c r="R55" s="31"/>
      <c r="S55" s="31"/>
      <c r="T55" s="31"/>
      <c r="U55" s="101"/>
      <c r="V55" s="105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3"/>
      <c r="AI55" s="5" t="str">
        <f>IF('Questionário &amp; Resultados'!D55="x",1,"")</f>
        <v/>
      </c>
    </row>
    <row r="56" spans="2:35" s="3" customFormat="1" ht="12.75" customHeight="1" x14ac:dyDescent="0.3">
      <c r="B56" s="25">
        <v>54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4" t="str">
        <f>IF($AI$56="","",1)</f>
        <v/>
      </c>
      <c r="U56" s="101"/>
      <c r="V56" s="105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3"/>
      <c r="AI56" s="5" t="str">
        <f>IF('Questionário &amp; Resultados'!D56="x",1,"")</f>
        <v/>
      </c>
    </row>
    <row r="57" spans="2:35" s="3" customFormat="1" ht="12.75" customHeight="1" x14ac:dyDescent="0.3">
      <c r="B57" s="25">
        <v>55</v>
      </c>
      <c r="C57" s="31"/>
      <c r="D57" s="31"/>
      <c r="E57" s="31"/>
      <c r="F57" s="31"/>
      <c r="G57" s="31"/>
      <c r="H57" s="31"/>
      <c r="I57" s="34" t="str">
        <f>IF($AI$57="","",1)</f>
        <v/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101"/>
      <c r="V57" s="105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3"/>
      <c r="AI57" s="5" t="str">
        <f>IF('Questionário &amp; Resultados'!D57="x",1,"")</f>
        <v/>
      </c>
    </row>
    <row r="58" spans="2:35" s="3" customFormat="1" ht="12.75" customHeight="1" x14ac:dyDescent="0.3">
      <c r="B58" s="25">
        <v>56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4" t="str">
        <f>IF($AI$58="","",1)</f>
        <v/>
      </c>
      <c r="P58" s="31"/>
      <c r="Q58" s="31"/>
      <c r="R58" s="31"/>
      <c r="S58" s="31"/>
      <c r="T58" s="31"/>
      <c r="U58" s="101"/>
      <c r="V58" s="105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3"/>
      <c r="AI58" s="5" t="str">
        <f>IF('Questionário &amp; Resultados'!D58="x",1,"")</f>
        <v/>
      </c>
    </row>
    <row r="59" spans="2:35" s="3" customFormat="1" ht="12.75" customHeight="1" x14ac:dyDescent="0.3">
      <c r="B59" s="25">
        <v>57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101"/>
      <c r="V59" s="105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7" t="str">
        <f>IF($AI$59="","",1)</f>
        <v/>
      </c>
      <c r="AI59" s="5" t="str">
        <f>IF('Questionário &amp; Resultados'!D59="x",1,"")</f>
        <v/>
      </c>
    </row>
    <row r="60" spans="2:35" s="3" customFormat="1" ht="12.75" customHeight="1" x14ac:dyDescent="0.3">
      <c r="B60" s="25">
        <v>58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101"/>
      <c r="V60" s="105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7" t="str">
        <f>IF($AI$60="","",1)</f>
        <v/>
      </c>
      <c r="AI60" s="5" t="str">
        <f>IF('Questionário &amp; Resultados'!D60="x",1,"")</f>
        <v/>
      </c>
    </row>
    <row r="61" spans="2:35" s="3" customFormat="1" ht="12.75" customHeight="1" x14ac:dyDescent="0.3">
      <c r="B61" s="25">
        <v>59</v>
      </c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103" t="str">
        <f>IF($AI$61="","",1)</f>
        <v/>
      </c>
      <c r="V61" s="105"/>
      <c r="W61" s="31"/>
      <c r="X61" s="31"/>
      <c r="Y61" s="31"/>
      <c r="Z61" s="31"/>
      <c r="AA61" s="31"/>
      <c r="AB61" s="34" t="str">
        <f>IF($AI$61="","",1)</f>
        <v/>
      </c>
      <c r="AC61" s="31"/>
      <c r="AD61" s="31"/>
      <c r="AE61" s="31"/>
      <c r="AF61" s="31"/>
      <c r="AG61" s="33"/>
      <c r="AI61" s="5" t="str">
        <f>IF('Questionário &amp; Resultados'!D61="x",1,"")</f>
        <v/>
      </c>
    </row>
    <row r="62" spans="2:35" s="3" customFormat="1" ht="12.75" customHeight="1" x14ac:dyDescent="0.3">
      <c r="B62" s="25">
        <v>60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101"/>
      <c r="V62" s="105"/>
      <c r="W62" s="103" t="str">
        <f>IF($AI$62="","",1)</f>
        <v/>
      </c>
      <c r="X62" s="31"/>
      <c r="Y62" s="31"/>
      <c r="Z62" s="31"/>
      <c r="AA62" s="31"/>
      <c r="AB62" s="31"/>
      <c r="AC62" s="31"/>
      <c r="AD62" s="31"/>
      <c r="AE62" s="31"/>
      <c r="AF62" s="31"/>
      <c r="AG62" s="33"/>
      <c r="AI62" s="5" t="str">
        <f>IF('Questionário &amp; Resultados'!D62="x",1,"")</f>
        <v/>
      </c>
    </row>
    <row r="63" spans="2:35" s="3" customFormat="1" ht="12.75" customHeight="1" x14ac:dyDescent="0.3">
      <c r="B63" s="25">
        <v>61</v>
      </c>
      <c r="C63" s="31"/>
      <c r="D63" s="34" t="str">
        <f>IF($AI$63="","",1)</f>
        <v/>
      </c>
      <c r="E63" s="31"/>
      <c r="F63" s="31"/>
      <c r="G63" s="31"/>
      <c r="H63" s="34" t="str">
        <f>IF($AI$63="","",1)</f>
        <v/>
      </c>
      <c r="I63" s="31"/>
      <c r="J63" s="31"/>
      <c r="K63" s="31"/>
      <c r="L63" s="31"/>
      <c r="M63" s="34" t="str">
        <f>IF($AI$63="","",1)</f>
        <v/>
      </c>
      <c r="N63" s="31"/>
      <c r="O63" s="31"/>
      <c r="P63" s="31"/>
      <c r="Q63" s="31"/>
      <c r="R63" s="31"/>
      <c r="S63" s="31"/>
      <c r="T63" s="31"/>
      <c r="U63" s="101"/>
      <c r="V63" s="105"/>
      <c r="W63" s="31"/>
      <c r="X63" s="31"/>
      <c r="Y63" s="31"/>
      <c r="Z63" s="31"/>
      <c r="AA63" s="31"/>
      <c r="AB63" s="31"/>
      <c r="AC63" s="31"/>
      <c r="AD63" s="31"/>
      <c r="AE63" s="31"/>
      <c r="AF63" s="34" t="str">
        <f>IF($AI$63="","",1)</f>
        <v/>
      </c>
      <c r="AG63" s="33"/>
      <c r="AI63" s="5" t="str">
        <f>IF('Questionário &amp; Resultados'!D63="x",1,"")</f>
        <v/>
      </c>
    </row>
    <row r="64" spans="2:35" s="3" customFormat="1" ht="12.75" customHeight="1" x14ac:dyDescent="0.3">
      <c r="B64" s="25">
        <v>62</v>
      </c>
      <c r="C64" s="31"/>
      <c r="D64" s="34" t="str">
        <f>IF($AI$64="","",1)</f>
        <v/>
      </c>
      <c r="E64" s="31"/>
      <c r="F64" s="31"/>
      <c r="G64" s="31"/>
      <c r="H64" s="31"/>
      <c r="I64" s="31"/>
      <c r="J64" s="31"/>
      <c r="K64" s="31"/>
      <c r="L64" s="31"/>
      <c r="M64" s="34" t="str">
        <f>IF($AI$64="","",1)</f>
        <v/>
      </c>
      <c r="N64" s="31"/>
      <c r="O64" s="31"/>
      <c r="P64" s="34" t="str">
        <f>IF($AI$64="","",1)</f>
        <v/>
      </c>
      <c r="Q64" s="31"/>
      <c r="R64" s="31"/>
      <c r="S64" s="31"/>
      <c r="T64" s="31"/>
      <c r="U64" s="101"/>
      <c r="V64" s="105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3"/>
      <c r="AI64" s="5" t="str">
        <f>IF('Questionário &amp; Resultados'!D64="x",1,"")</f>
        <v/>
      </c>
    </row>
    <row r="65" spans="2:35" s="3" customFormat="1" ht="12.75" customHeight="1" x14ac:dyDescent="0.3">
      <c r="B65" s="25">
        <v>63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4" t="str">
        <f>IF($AI$65="","",1)</f>
        <v/>
      </c>
      <c r="P65" s="31"/>
      <c r="Q65" s="31"/>
      <c r="R65" s="31"/>
      <c r="S65" s="31"/>
      <c r="T65" s="31"/>
      <c r="U65" s="101"/>
      <c r="V65" s="105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3"/>
      <c r="AI65" s="5" t="str">
        <f>IF('Questionário &amp; Resultados'!D65="x",1,"")</f>
        <v/>
      </c>
    </row>
    <row r="66" spans="2:35" s="3" customFormat="1" ht="12.75" customHeight="1" x14ac:dyDescent="0.3">
      <c r="B66" s="25">
        <v>64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4" t="str">
        <f>IF($AI$66="","",1)</f>
        <v/>
      </c>
      <c r="P66" s="31"/>
      <c r="Q66" s="31"/>
      <c r="R66" s="31"/>
      <c r="S66" s="31"/>
      <c r="T66" s="31"/>
      <c r="U66" s="101"/>
      <c r="V66" s="105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3"/>
      <c r="AI66" s="5" t="str">
        <f>IF('Questionário &amp; Resultados'!D66="x",1,"")</f>
        <v/>
      </c>
    </row>
    <row r="67" spans="2:35" s="3" customFormat="1" ht="12.75" customHeight="1" x14ac:dyDescent="0.3">
      <c r="B67" s="25">
        <v>65</v>
      </c>
      <c r="C67" s="31"/>
      <c r="D67" s="31"/>
      <c r="E67" s="31"/>
      <c r="F67" s="31"/>
      <c r="G67" s="34" t="str">
        <f>IF($AI$67="","",1)</f>
        <v/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101"/>
      <c r="V67" s="105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3"/>
      <c r="AI67" s="5" t="str">
        <f>IF('Questionário &amp; Resultados'!D67="x",1,"")</f>
        <v/>
      </c>
    </row>
    <row r="68" spans="2:35" s="3" customFormat="1" ht="12.75" customHeight="1" x14ac:dyDescent="0.3">
      <c r="B68" s="25">
        <v>66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103" t="str">
        <f>IF($AI$68="","",1)</f>
        <v/>
      </c>
      <c r="V68" s="106" t="str">
        <f>IF($AI$68="","",1)</f>
        <v/>
      </c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3"/>
      <c r="AI68" s="5" t="str">
        <f>IF('Questionário &amp; Resultados'!D68="x",1,"")</f>
        <v/>
      </c>
    </row>
    <row r="69" spans="2:35" s="3" customFormat="1" ht="12.75" customHeight="1" x14ac:dyDescent="0.3">
      <c r="B69" s="25">
        <v>67</v>
      </c>
      <c r="C69" s="31"/>
      <c r="D69" s="34" t="str">
        <f>IF($AI$69="","",1)</f>
        <v/>
      </c>
      <c r="E69" s="31"/>
      <c r="F69" s="31"/>
      <c r="G69" s="31"/>
      <c r="H69" s="34" t="str">
        <f>IF($AI$69="","",1)</f>
        <v/>
      </c>
      <c r="I69" s="31"/>
      <c r="J69" s="31"/>
      <c r="K69" s="31"/>
      <c r="L69" s="31"/>
      <c r="M69" s="31"/>
      <c r="N69" s="31"/>
      <c r="O69" s="31"/>
      <c r="P69" s="31"/>
      <c r="Q69" s="34" t="str">
        <f>IF($AI$69="","",1)</f>
        <v/>
      </c>
      <c r="R69" s="31"/>
      <c r="S69" s="31"/>
      <c r="T69" s="31"/>
      <c r="U69" s="101"/>
      <c r="V69" s="105"/>
      <c r="W69" s="31"/>
      <c r="X69" s="31"/>
      <c r="Y69" s="34" t="str">
        <f>IF($AI$69="","",1)</f>
        <v/>
      </c>
      <c r="Z69" s="34" t="str">
        <f>IF($AI$69="","",1)</f>
        <v/>
      </c>
      <c r="AA69" s="34" t="str">
        <f>IF($AI$69="","",1)</f>
        <v/>
      </c>
      <c r="AB69" s="31"/>
      <c r="AC69" s="31"/>
      <c r="AD69" s="31"/>
      <c r="AE69" s="31"/>
      <c r="AF69" s="34" t="str">
        <f>IF($AI$69="","",1)</f>
        <v/>
      </c>
      <c r="AG69" s="33"/>
      <c r="AI69" s="5" t="str">
        <f>IF('Questionário &amp; Resultados'!D69="x",1,"")</f>
        <v/>
      </c>
    </row>
    <row r="70" spans="2:35" s="3" customFormat="1" ht="12.75" customHeight="1" x14ac:dyDescent="0.3">
      <c r="B70" s="25">
        <v>68</v>
      </c>
      <c r="C70" s="31"/>
      <c r="D70" s="31"/>
      <c r="E70" s="34" t="str">
        <f>IF($AI$70="","",1)</f>
        <v/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101"/>
      <c r="V70" s="105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3"/>
      <c r="AI70" s="5" t="str">
        <f>IF('Questionário &amp; Resultados'!D70="x",1,"")</f>
        <v/>
      </c>
    </row>
    <row r="71" spans="2:35" s="3" customFormat="1" ht="12.75" customHeight="1" x14ac:dyDescent="0.3">
      <c r="B71" s="25">
        <v>69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103" t="str">
        <f>IF($AI$71="","",1)</f>
        <v/>
      </c>
      <c r="V71" s="105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3"/>
      <c r="AI71" s="5" t="str">
        <f>IF('Questionário &amp; Resultados'!D71="x",1,"")</f>
        <v/>
      </c>
    </row>
    <row r="72" spans="2:35" s="3" customFormat="1" ht="12.75" customHeight="1" x14ac:dyDescent="0.3">
      <c r="B72" s="25">
        <v>70</v>
      </c>
      <c r="C72" s="31"/>
      <c r="D72" s="31"/>
      <c r="E72" s="31"/>
      <c r="F72" s="31"/>
      <c r="G72" s="31"/>
      <c r="H72" s="31"/>
      <c r="I72" s="31"/>
      <c r="J72" s="34" t="str">
        <f>IF($AI$72="","",1)</f>
        <v/>
      </c>
      <c r="K72" s="31"/>
      <c r="L72" s="31"/>
      <c r="M72" s="31"/>
      <c r="N72" s="34" t="str">
        <f>IF($AI$72="","",1)</f>
        <v/>
      </c>
      <c r="O72" s="31"/>
      <c r="P72" s="31"/>
      <c r="Q72" s="34" t="str">
        <f>IF($AI$72="","",1)</f>
        <v/>
      </c>
      <c r="R72" s="31"/>
      <c r="S72" s="31"/>
      <c r="T72" s="31"/>
      <c r="U72" s="101"/>
      <c r="V72" s="105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3"/>
      <c r="AI72" s="5" t="str">
        <f>IF('Questionário &amp; Resultados'!D72="x",1,"")</f>
        <v/>
      </c>
    </row>
    <row r="73" spans="2:35" s="3" customFormat="1" ht="12.75" customHeight="1" x14ac:dyDescent="0.3">
      <c r="B73" s="25">
        <v>71</v>
      </c>
      <c r="C73" s="31"/>
      <c r="D73" s="31"/>
      <c r="E73" s="31"/>
      <c r="F73" s="31"/>
      <c r="G73" s="31"/>
      <c r="H73" s="31"/>
      <c r="I73" s="31"/>
      <c r="J73" s="34" t="str">
        <f>IF($AI$73="","",1)</f>
        <v/>
      </c>
      <c r="K73" s="31"/>
      <c r="L73" s="31"/>
      <c r="M73" s="31"/>
      <c r="N73" s="34" t="str">
        <f>IF($AI$72="","",1)</f>
        <v/>
      </c>
      <c r="O73" s="31"/>
      <c r="P73" s="31"/>
      <c r="Q73" s="34" t="str">
        <f>IF($AI$72="","",1)</f>
        <v/>
      </c>
      <c r="R73" s="31"/>
      <c r="S73" s="31"/>
      <c r="T73" s="31"/>
      <c r="U73" s="101"/>
      <c r="V73" s="105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3"/>
      <c r="AI73" s="5" t="str">
        <f>IF('Questionário &amp; Resultados'!D73="x",1,"")</f>
        <v/>
      </c>
    </row>
    <row r="74" spans="2:35" s="3" customFormat="1" ht="12.75" customHeight="1" x14ac:dyDescent="0.3">
      <c r="B74" s="25">
        <v>72</v>
      </c>
      <c r="C74" s="31"/>
      <c r="D74" s="31"/>
      <c r="E74" s="31"/>
      <c r="F74" s="31"/>
      <c r="G74" s="31"/>
      <c r="H74" s="34" t="str">
        <f>IF($AI$74="","",1)</f>
        <v/>
      </c>
      <c r="I74" s="31"/>
      <c r="J74" s="31"/>
      <c r="K74" s="31"/>
      <c r="L74" s="31"/>
      <c r="M74" s="31"/>
      <c r="N74" s="31"/>
      <c r="O74" s="31"/>
      <c r="P74" s="34" t="str">
        <f>IF($AI$74="","",1)</f>
        <v/>
      </c>
      <c r="Q74" s="31"/>
      <c r="R74" s="31"/>
      <c r="S74" s="31"/>
      <c r="T74" s="31"/>
      <c r="U74" s="101"/>
      <c r="V74" s="105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3"/>
      <c r="AI74" s="5" t="str">
        <f>IF('Questionário &amp; Resultados'!D74="x",1,"")</f>
        <v/>
      </c>
    </row>
    <row r="75" spans="2:35" s="3" customFormat="1" ht="12.75" customHeight="1" x14ac:dyDescent="0.3">
      <c r="B75" s="25">
        <v>73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4" t="str">
        <f>IF($AI$75="","",1)</f>
        <v/>
      </c>
      <c r="U75" s="101"/>
      <c r="V75" s="105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3"/>
      <c r="AI75" s="5" t="str">
        <f>IF('Questionário &amp; Resultados'!D75="x",1,"")</f>
        <v/>
      </c>
    </row>
    <row r="76" spans="2:35" s="3" customFormat="1" ht="12.75" customHeight="1" x14ac:dyDescent="0.3">
      <c r="B76" s="25">
        <v>74</v>
      </c>
      <c r="C76" s="34" t="str">
        <f>IF($AI$76="","",1)</f>
        <v/>
      </c>
      <c r="D76" s="31"/>
      <c r="E76" s="31"/>
      <c r="F76" s="31"/>
      <c r="G76" s="31"/>
      <c r="H76" s="31"/>
      <c r="I76" s="31"/>
      <c r="J76" s="31"/>
      <c r="K76" s="31"/>
      <c r="L76" s="31"/>
      <c r="M76" s="34" t="str">
        <f>IF($AI$76="","",1)</f>
        <v/>
      </c>
      <c r="N76" s="31"/>
      <c r="O76" s="31"/>
      <c r="P76" s="31"/>
      <c r="Q76" s="31"/>
      <c r="R76" s="31"/>
      <c r="S76" s="31"/>
      <c r="T76" s="31"/>
      <c r="U76" s="103" t="str">
        <f>IF($AI$76="","",1)</f>
        <v/>
      </c>
      <c r="V76" s="105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3"/>
      <c r="AI76" s="5" t="str">
        <f>IF('Questionário &amp; Resultados'!D76="x",1,"")</f>
        <v/>
      </c>
    </row>
    <row r="77" spans="2:35" s="3" customFormat="1" ht="12.75" customHeight="1" x14ac:dyDescent="0.3">
      <c r="B77" s="25">
        <v>75</v>
      </c>
      <c r="C77" s="31"/>
      <c r="D77" s="31"/>
      <c r="E77" s="31"/>
      <c r="F77" s="31"/>
      <c r="G77" s="31"/>
      <c r="H77" s="31"/>
      <c r="I77" s="31"/>
      <c r="J77" s="34" t="str">
        <f>IF($AI$77="","",1)</f>
        <v/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101"/>
      <c r="V77" s="105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3"/>
      <c r="AI77" s="5" t="str">
        <f>IF('Questionário &amp; Resultados'!D77="x",1,"")</f>
        <v/>
      </c>
    </row>
    <row r="78" spans="2:35" s="3" customFormat="1" ht="12.75" customHeight="1" x14ac:dyDescent="0.3">
      <c r="B78" s="25">
        <v>76</v>
      </c>
      <c r="C78" s="31"/>
      <c r="D78" s="31"/>
      <c r="E78" s="31"/>
      <c r="F78" s="31"/>
      <c r="G78" s="31"/>
      <c r="H78" s="31"/>
      <c r="I78" s="31"/>
      <c r="J78" s="31"/>
      <c r="K78" s="34" t="str">
        <f>IF($AI$78="","",1)</f>
        <v/>
      </c>
      <c r="L78" s="31"/>
      <c r="M78" s="31"/>
      <c r="N78" s="31"/>
      <c r="O78" s="31"/>
      <c r="P78" s="31"/>
      <c r="Q78" s="31"/>
      <c r="R78" s="31"/>
      <c r="S78" s="31"/>
      <c r="T78" s="31"/>
      <c r="U78" s="101"/>
      <c r="V78" s="105"/>
      <c r="W78" s="31"/>
      <c r="X78" s="31"/>
      <c r="Y78" s="31"/>
      <c r="Z78" s="31"/>
      <c r="AA78" s="31"/>
      <c r="AB78" s="31"/>
      <c r="AC78" s="31"/>
      <c r="AD78" s="31"/>
      <c r="AE78" s="31"/>
      <c r="AF78" s="34" t="str">
        <f>IF($AI$78="","",1)</f>
        <v/>
      </c>
      <c r="AG78" s="33"/>
      <c r="AI78" s="5" t="str">
        <f>IF('Questionário &amp; Resultados'!D78="x",1,"")</f>
        <v/>
      </c>
    </row>
    <row r="79" spans="2:35" s="3" customFormat="1" ht="12.75" customHeight="1" x14ac:dyDescent="0.3">
      <c r="B79" s="25">
        <v>77</v>
      </c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4" t="str">
        <f>IF($AI$79="","",1)</f>
        <v/>
      </c>
      <c r="Q79" s="31"/>
      <c r="R79" s="31"/>
      <c r="S79" s="31"/>
      <c r="T79" s="31"/>
      <c r="U79" s="101"/>
      <c r="V79" s="105"/>
      <c r="W79" s="31"/>
      <c r="X79" s="31"/>
      <c r="Y79" s="31"/>
      <c r="Z79" s="31"/>
      <c r="AA79" s="31"/>
      <c r="AB79" s="31"/>
      <c r="AC79" s="31"/>
      <c r="AD79" s="31"/>
      <c r="AE79" s="34" t="str">
        <f>IF($AI$79="","",1)</f>
        <v/>
      </c>
      <c r="AF79" s="31"/>
      <c r="AG79" s="33"/>
      <c r="AI79" s="5" t="str">
        <f>IF('Questionário &amp; Resultados'!D79="x",1,"")</f>
        <v/>
      </c>
    </row>
    <row r="80" spans="2:35" s="3" customFormat="1" ht="12.75" customHeight="1" x14ac:dyDescent="0.3">
      <c r="B80" s="25">
        <v>78</v>
      </c>
      <c r="C80" s="31"/>
      <c r="D80" s="31"/>
      <c r="E80" s="31"/>
      <c r="F80" s="31"/>
      <c r="G80" s="31"/>
      <c r="H80" s="31"/>
      <c r="I80" s="31"/>
      <c r="J80" s="31"/>
      <c r="K80" s="34" t="str">
        <f>IF($AI$80="","",1)</f>
        <v/>
      </c>
      <c r="L80" s="31"/>
      <c r="M80" s="31"/>
      <c r="N80" s="31"/>
      <c r="O80" s="31"/>
      <c r="P80" s="31"/>
      <c r="Q80" s="31"/>
      <c r="R80" s="31"/>
      <c r="S80" s="31"/>
      <c r="T80" s="31"/>
      <c r="U80" s="101"/>
      <c r="V80" s="105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3"/>
      <c r="AI80" s="5" t="str">
        <f>IF('Questionário &amp; Resultados'!D80="x",1,"")</f>
        <v/>
      </c>
    </row>
    <row r="81" spans="2:35" s="3" customFormat="1" ht="12.75" customHeight="1" x14ac:dyDescent="0.3">
      <c r="B81" s="25">
        <v>79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101"/>
      <c r="V81" s="105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7" t="str">
        <f>IF($AI$81="","",1)</f>
        <v/>
      </c>
      <c r="AI81" s="5" t="str">
        <f>IF('Questionário &amp; Resultados'!D81="x",1,"")</f>
        <v/>
      </c>
    </row>
    <row r="82" spans="2:35" s="3" customFormat="1" ht="12.75" customHeight="1" x14ac:dyDescent="0.3">
      <c r="B82" s="25">
        <v>80</v>
      </c>
      <c r="C82" s="31"/>
      <c r="D82" s="31"/>
      <c r="E82" s="31"/>
      <c r="F82" s="31"/>
      <c r="G82" s="31"/>
      <c r="H82" s="31"/>
      <c r="I82" s="31"/>
      <c r="J82" s="34" t="str">
        <f>IF($AI$82="","",1)</f>
        <v/>
      </c>
      <c r="K82" s="31"/>
      <c r="L82" s="31"/>
      <c r="M82" s="34" t="str">
        <f>IF($AI$82="","",1)</f>
        <v/>
      </c>
      <c r="N82" s="31"/>
      <c r="O82" s="31"/>
      <c r="P82" s="31"/>
      <c r="Q82" s="31"/>
      <c r="R82" s="31"/>
      <c r="S82" s="31"/>
      <c r="T82" s="31"/>
      <c r="U82" s="101"/>
      <c r="V82" s="105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3"/>
      <c r="AI82" s="5" t="str">
        <f>IF('Questionário &amp; Resultados'!D82="x",1,"")</f>
        <v/>
      </c>
    </row>
    <row r="83" spans="2:35" s="3" customFormat="1" ht="12.75" customHeight="1" x14ac:dyDescent="0.3">
      <c r="B83" s="25">
        <v>81</v>
      </c>
      <c r="C83" s="31"/>
      <c r="D83" s="34" t="str">
        <f>IF($AI$83="","",1)</f>
        <v/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101"/>
      <c r="V83" s="105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3"/>
      <c r="AI83" s="5" t="str">
        <f>IF('Questionário &amp; Resultados'!D83="x",1,"")</f>
        <v/>
      </c>
    </row>
    <row r="84" spans="2:35" s="3" customFormat="1" ht="12.75" customHeight="1" x14ac:dyDescent="0.3">
      <c r="B84" s="25">
        <v>82</v>
      </c>
      <c r="C84" s="31"/>
      <c r="D84" s="31"/>
      <c r="E84" s="31"/>
      <c r="F84" s="31"/>
      <c r="G84" s="34" t="str">
        <f>IF($AI$84="","",1)</f>
        <v/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103" t="str">
        <f>IF($AI$84="","",1)</f>
        <v/>
      </c>
      <c r="V84" s="106" t="str">
        <f>IF($AI$84="","",1)</f>
        <v/>
      </c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3"/>
      <c r="AI84" s="5" t="str">
        <f>IF('Questionário &amp; Resultados'!D84="x",1,"")</f>
        <v/>
      </c>
    </row>
    <row r="85" spans="2:35" s="3" customFormat="1" ht="12.75" customHeight="1" x14ac:dyDescent="0.3">
      <c r="B85" s="25">
        <v>83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103" t="str">
        <f>IF($AI$85="","",1)</f>
        <v/>
      </c>
      <c r="V85" s="105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3"/>
      <c r="AI85" s="5" t="str">
        <f>IF('Questionário &amp; Resultados'!D85="x",1,"")</f>
        <v/>
      </c>
    </row>
    <row r="86" spans="2:35" s="3" customFormat="1" ht="12.75" customHeight="1" x14ac:dyDescent="0.3">
      <c r="B86" s="25">
        <v>84</v>
      </c>
      <c r="C86" s="31"/>
      <c r="D86" s="31"/>
      <c r="E86" s="34" t="str">
        <f>IF($AI$86="","",1)</f>
        <v/>
      </c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101"/>
      <c r="V86" s="105"/>
      <c r="W86" s="31"/>
      <c r="X86" s="31"/>
      <c r="Y86" s="31"/>
      <c r="Z86" s="31"/>
      <c r="AA86" s="31"/>
      <c r="AB86" s="31"/>
      <c r="AC86" s="31"/>
      <c r="AD86" s="34" t="str">
        <f>IF($AI$86="","",1)</f>
        <v/>
      </c>
      <c r="AE86" s="31"/>
      <c r="AF86" s="31"/>
      <c r="AG86" s="33"/>
      <c r="AI86" s="5" t="str">
        <f>IF('Questionário &amp; Resultados'!D86="x",1,"")</f>
        <v/>
      </c>
    </row>
    <row r="87" spans="2:35" s="3" customFormat="1" ht="12.75" customHeight="1" x14ac:dyDescent="0.3">
      <c r="B87" s="25">
        <v>85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4" t="str">
        <f>IF($AI$87="","",1)</f>
        <v/>
      </c>
      <c r="R87" s="31"/>
      <c r="S87" s="31"/>
      <c r="T87" s="31"/>
      <c r="U87" s="101"/>
      <c r="V87" s="105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3"/>
      <c r="AI87" s="5" t="str">
        <f>IF('Questionário &amp; Resultados'!D87="x",1,"")</f>
        <v/>
      </c>
    </row>
    <row r="88" spans="2:35" s="3" customFormat="1" ht="12.75" customHeight="1" x14ac:dyDescent="0.3">
      <c r="B88" s="25">
        <v>86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4" t="str">
        <f>IF($AI$88="","",1)</f>
        <v/>
      </c>
      <c r="T88" s="31"/>
      <c r="U88" s="101"/>
      <c r="V88" s="105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3"/>
      <c r="AI88" s="5" t="str">
        <f>IF('Questionário &amp; Resultados'!D88="x",1,"")</f>
        <v/>
      </c>
    </row>
    <row r="89" spans="2:35" s="3" customFormat="1" ht="12.75" customHeight="1" x14ac:dyDescent="0.3">
      <c r="B89" s="25">
        <v>87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103" t="str">
        <f>IF($AI$89="","",1)</f>
        <v/>
      </c>
      <c r="V89" s="105"/>
      <c r="W89" s="31"/>
      <c r="X89" s="31"/>
      <c r="Y89" s="31"/>
      <c r="Z89" s="31"/>
      <c r="AA89" s="31"/>
      <c r="AB89" s="31"/>
      <c r="AC89" s="31"/>
      <c r="AD89" s="31"/>
      <c r="AE89" s="34" t="str">
        <f>IF($AI$89="","",1)</f>
        <v/>
      </c>
      <c r="AF89" s="31"/>
      <c r="AG89" s="33"/>
      <c r="AI89" s="5" t="str">
        <f>IF('Questionário &amp; Resultados'!D89="x",1,"")</f>
        <v/>
      </c>
    </row>
    <row r="90" spans="2:35" s="3" customFormat="1" ht="12.75" customHeight="1" x14ac:dyDescent="0.3">
      <c r="B90" s="25">
        <v>88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4" t="str">
        <f>IF($AI$90="","",1)</f>
        <v/>
      </c>
      <c r="P90" s="31"/>
      <c r="Q90" s="31"/>
      <c r="R90" s="31"/>
      <c r="S90" s="31"/>
      <c r="T90" s="31"/>
      <c r="U90" s="101"/>
      <c r="V90" s="105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3"/>
      <c r="AI90" s="5" t="str">
        <f>IF('Questionário &amp; Resultados'!D90="x",1,"")</f>
        <v/>
      </c>
    </row>
    <row r="91" spans="2:35" s="3" customFormat="1" ht="12.75" customHeight="1" x14ac:dyDescent="0.3">
      <c r="B91" s="25">
        <v>89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4" t="str">
        <f>IF($AI$91="","",1)</f>
        <v/>
      </c>
      <c r="O91" s="31"/>
      <c r="P91" s="31"/>
      <c r="Q91" s="34" t="str">
        <f>IF($AI$91="","",1)</f>
        <v/>
      </c>
      <c r="R91" s="31"/>
      <c r="S91" s="34" t="str">
        <f>IF($AI$91="","",1)</f>
        <v/>
      </c>
      <c r="T91" s="31"/>
      <c r="U91" s="103" t="str">
        <f>IF($AI$91="","",1)</f>
        <v/>
      </c>
      <c r="V91" s="106" t="str">
        <f>IF($AI$91="","",1)</f>
        <v/>
      </c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3"/>
      <c r="AI91" s="5" t="str">
        <f>IF('Questionário &amp; Resultados'!D91="x",1,"")</f>
        <v/>
      </c>
    </row>
    <row r="92" spans="2:35" s="3" customFormat="1" ht="12.75" customHeight="1" x14ac:dyDescent="0.3">
      <c r="B92" s="25">
        <v>90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4" t="str">
        <f>IF($AI$92="","",1)</f>
        <v/>
      </c>
      <c r="P92" s="31"/>
      <c r="Q92" s="31"/>
      <c r="R92" s="31"/>
      <c r="S92" s="31"/>
      <c r="T92" s="31"/>
      <c r="U92" s="101"/>
      <c r="V92" s="105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3"/>
      <c r="AI92" s="5" t="str">
        <f>IF('Questionário &amp; Resultados'!D92="x",1,"")</f>
        <v/>
      </c>
    </row>
    <row r="93" spans="2:35" s="3" customFormat="1" ht="12.75" customHeight="1" x14ac:dyDescent="0.3">
      <c r="B93" s="25">
        <v>91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4" t="str">
        <f>IF($AI$93="","",1)</f>
        <v/>
      </c>
      <c r="S93" s="31"/>
      <c r="T93" s="31"/>
      <c r="U93" s="101"/>
      <c r="V93" s="105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3"/>
      <c r="AI93" s="5" t="str">
        <f>IF('Questionário &amp; Resultados'!D93="x",1,"")</f>
        <v/>
      </c>
    </row>
    <row r="94" spans="2:35" s="3" customFormat="1" ht="12.75" customHeight="1" x14ac:dyDescent="0.3">
      <c r="B94" s="25">
        <v>92</v>
      </c>
      <c r="C94" s="34" t="str">
        <f>IF($AI$94="","",1)</f>
        <v/>
      </c>
      <c r="D94" s="31"/>
      <c r="E94" s="34" t="str">
        <f>IF($AI$94="","",1)</f>
        <v/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4" t="str">
        <f>IF($AI$94="","",1)</f>
        <v/>
      </c>
      <c r="Q94" s="31"/>
      <c r="R94" s="31"/>
      <c r="S94" s="31"/>
      <c r="T94" s="31"/>
      <c r="U94" s="101"/>
      <c r="V94" s="105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3"/>
      <c r="AI94" s="5" t="str">
        <f>IF('Questionário &amp; Resultados'!D94="x",1,"")</f>
        <v/>
      </c>
    </row>
    <row r="95" spans="2:35" s="3" customFormat="1" ht="12.75" customHeight="1" x14ac:dyDescent="0.3">
      <c r="B95" s="25">
        <v>93</v>
      </c>
      <c r="C95" s="31"/>
      <c r="D95" s="31"/>
      <c r="E95" s="34" t="str">
        <f>IF($AI$95="","",1)</f>
        <v/>
      </c>
      <c r="F95" s="31"/>
      <c r="G95" s="31"/>
      <c r="H95" s="31"/>
      <c r="I95" s="31"/>
      <c r="J95" s="31"/>
      <c r="K95" s="31"/>
      <c r="L95" s="31"/>
      <c r="M95" s="34" t="str">
        <f>IF($AI$95="","",1)</f>
        <v/>
      </c>
      <c r="N95" s="31"/>
      <c r="O95" s="31"/>
      <c r="P95" s="31"/>
      <c r="Q95" s="31"/>
      <c r="R95" s="31"/>
      <c r="S95" s="31"/>
      <c r="T95" s="31"/>
      <c r="U95" s="101"/>
      <c r="V95" s="105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3"/>
      <c r="AI95" s="5" t="str">
        <f>IF('Questionário &amp; Resultados'!D95="x",1,"")</f>
        <v/>
      </c>
    </row>
    <row r="96" spans="2:35" s="3" customFormat="1" ht="12.75" customHeight="1" x14ac:dyDescent="0.3">
      <c r="B96" s="25">
        <v>94</v>
      </c>
      <c r="C96" s="31"/>
      <c r="D96" s="31"/>
      <c r="E96" s="31"/>
      <c r="F96" s="31"/>
      <c r="G96" s="31"/>
      <c r="H96" s="31"/>
      <c r="I96" s="31"/>
      <c r="J96" s="31"/>
      <c r="K96" s="34" t="str">
        <f>IF($AI$96="","",1)</f>
        <v/>
      </c>
      <c r="L96" s="31"/>
      <c r="M96" s="31"/>
      <c r="N96" s="31"/>
      <c r="O96" s="31"/>
      <c r="P96" s="31"/>
      <c r="Q96" s="31"/>
      <c r="R96" s="31"/>
      <c r="S96" s="31"/>
      <c r="T96" s="31"/>
      <c r="U96" s="101"/>
      <c r="V96" s="105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3"/>
      <c r="AI96" s="5" t="str">
        <f>IF('Questionário &amp; Resultados'!D96="x",1,"")</f>
        <v/>
      </c>
    </row>
    <row r="97" spans="2:35" s="3" customFormat="1" ht="12.75" customHeight="1" thickBot="1" x14ac:dyDescent="0.35">
      <c r="B97" s="25">
        <v>95</v>
      </c>
      <c r="C97" s="40" t="str">
        <f>IF($AI$97="","",1)</f>
        <v/>
      </c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104"/>
      <c r="V97" s="110"/>
      <c r="W97" s="41"/>
      <c r="X97" s="41"/>
      <c r="Y97" s="41"/>
      <c r="Z97" s="41"/>
      <c r="AA97" s="41"/>
      <c r="AB97" s="41"/>
      <c r="AC97" s="41"/>
      <c r="AD97" s="40" t="str">
        <f>IF($AI$97="","",1)</f>
        <v/>
      </c>
      <c r="AE97" s="41"/>
      <c r="AF97" s="41"/>
      <c r="AG97" s="42"/>
      <c r="AI97" s="87" t="str">
        <f>IF('Questionário &amp; Resultados'!D97="x",1,"")</f>
        <v/>
      </c>
    </row>
    <row r="98" spans="2:35" s="3" customFormat="1" ht="12.75" customHeight="1" thickBot="1" x14ac:dyDescent="0.35">
      <c r="B98" s="89" t="s">
        <v>153</v>
      </c>
      <c r="C98" s="90">
        <f>SUM(C3:C97)</f>
        <v>0</v>
      </c>
      <c r="D98" s="91">
        <f t="shared" ref="D98:U98" si="0">SUM(D3:D97)</f>
        <v>0</v>
      </c>
      <c r="E98" s="91">
        <f t="shared" si="0"/>
        <v>0</v>
      </c>
      <c r="F98" s="91">
        <f t="shared" si="0"/>
        <v>0</v>
      </c>
      <c r="G98" s="91">
        <f t="shared" si="0"/>
        <v>0</v>
      </c>
      <c r="H98" s="91">
        <f t="shared" si="0"/>
        <v>0</v>
      </c>
      <c r="I98" s="91">
        <f t="shared" si="0"/>
        <v>0</v>
      </c>
      <c r="J98" s="91">
        <f t="shared" si="0"/>
        <v>0</v>
      </c>
      <c r="K98" s="91">
        <f t="shared" si="0"/>
        <v>0</v>
      </c>
      <c r="L98" s="91">
        <f t="shared" si="0"/>
        <v>0</v>
      </c>
      <c r="M98" s="91">
        <f t="shared" si="0"/>
        <v>0</v>
      </c>
      <c r="N98" s="91">
        <f t="shared" si="0"/>
        <v>0</v>
      </c>
      <c r="O98" s="91">
        <f t="shared" si="0"/>
        <v>0</v>
      </c>
      <c r="P98" s="91">
        <f t="shared" si="0"/>
        <v>0</v>
      </c>
      <c r="Q98" s="91">
        <f t="shared" si="0"/>
        <v>0</v>
      </c>
      <c r="R98" s="91">
        <f t="shared" si="0"/>
        <v>0</v>
      </c>
      <c r="S98" s="91">
        <f t="shared" si="0"/>
        <v>0</v>
      </c>
      <c r="T98" s="91">
        <f t="shared" si="0"/>
        <v>0</v>
      </c>
      <c r="U98" s="107">
        <f t="shared" si="0"/>
        <v>0</v>
      </c>
      <c r="V98" s="111">
        <f t="shared" ref="V98:AG98" si="1">SUM(V3:V97)</f>
        <v>0</v>
      </c>
      <c r="W98" s="91">
        <f t="shared" si="1"/>
        <v>0</v>
      </c>
      <c r="X98" s="91">
        <f t="shared" si="1"/>
        <v>0</v>
      </c>
      <c r="Y98" s="91">
        <f t="shared" si="1"/>
        <v>0</v>
      </c>
      <c r="Z98" s="91">
        <f t="shared" si="1"/>
        <v>0</v>
      </c>
      <c r="AA98" s="91">
        <f t="shared" si="1"/>
        <v>0</v>
      </c>
      <c r="AB98" s="91">
        <f t="shared" si="1"/>
        <v>0</v>
      </c>
      <c r="AC98" s="91">
        <f t="shared" si="1"/>
        <v>0</v>
      </c>
      <c r="AD98" s="91">
        <f t="shared" si="1"/>
        <v>0</v>
      </c>
      <c r="AE98" s="91">
        <f t="shared" si="1"/>
        <v>0</v>
      </c>
      <c r="AF98" s="91">
        <f t="shared" si="1"/>
        <v>0</v>
      </c>
      <c r="AG98" s="92">
        <f t="shared" si="1"/>
        <v>0</v>
      </c>
      <c r="AI98" s="88">
        <f>SUM(AI3:AI97)</f>
        <v>0</v>
      </c>
    </row>
    <row r="99" spans="2:35" s="3" customFormat="1" ht="12.75" customHeight="1" thickBot="1" x14ac:dyDescent="0.35">
      <c r="B99" s="13" t="s">
        <v>154</v>
      </c>
      <c r="C99" s="97">
        <f t="shared" ref="C99:S99" si="2">COUNTA(C3:C97)</f>
        <v>9</v>
      </c>
      <c r="D99" s="98">
        <f t="shared" si="2"/>
        <v>18</v>
      </c>
      <c r="E99" s="98">
        <f t="shared" si="2"/>
        <v>9</v>
      </c>
      <c r="F99" s="98">
        <f t="shared" si="2"/>
        <v>10</v>
      </c>
      <c r="G99" s="98">
        <f t="shared" si="2"/>
        <v>8</v>
      </c>
      <c r="H99" s="98">
        <f t="shared" si="2"/>
        <v>9</v>
      </c>
      <c r="I99" s="98">
        <f t="shared" si="2"/>
        <v>8</v>
      </c>
      <c r="J99" s="98">
        <f t="shared" si="2"/>
        <v>9</v>
      </c>
      <c r="K99" s="98">
        <f t="shared" si="2"/>
        <v>8</v>
      </c>
      <c r="L99" s="98">
        <f t="shared" si="2"/>
        <v>9</v>
      </c>
      <c r="M99" s="98">
        <f t="shared" si="2"/>
        <v>9</v>
      </c>
      <c r="N99" s="98">
        <f t="shared" si="2"/>
        <v>9</v>
      </c>
      <c r="O99" s="98">
        <f t="shared" si="2"/>
        <v>6</v>
      </c>
      <c r="P99" s="98">
        <f t="shared" si="2"/>
        <v>6</v>
      </c>
      <c r="Q99" s="98">
        <f t="shared" si="2"/>
        <v>14</v>
      </c>
      <c r="R99" s="98">
        <f t="shared" si="2"/>
        <v>5</v>
      </c>
      <c r="S99" s="98">
        <f t="shared" si="2"/>
        <v>4</v>
      </c>
      <c r="T99" s="98">
        <f>COUNTA(T3:T97)</f>
        <v>8</v>
      </c>
      <c r="U99" s="108">
        <f t="shared" ref="U99:AG99" si="3">COUNTA(U3:U97)</f>
        <v>13</v>
      </c>
      <c r="V99" s="39">
        <f t="shared" si="3"/>
        <v>9</v>
      </c>
      <c r="W99" s="98">
        <f t="shared" si="3"/>
        <v>1</v>
      </c>
      <c r="X99" s="98">
        <f t="shared" si="3"/>
        <v>3</v>
      </c>
      <c r="Y99" s="98">
        <f t="shared" si="3"/>
        <v>4</v>
      </c>
      <c r="Z99" s="98">
        <f t="shared" si="3"/>
        <v>1</v>
      </c>
      <c r="AA99" s="98">
        <f t="shared" si="3"/>
        <v>2</v>
      </c>
      <c r="AB99" s="98">
        <f t="shared" si="3"/>
        <v>5</v>
      </c>
      <c r="AC99" s="98">
        <f t="shared" si="3"/>
        <v>3</v>
      </c>
      <c r="AD99" s="98">
        <f t="shared" si="3"/>
        <v>3</v>
      </c>
      <c r="AE99" s="98">
        <f t="shared" si="3"/>
        <v>2</v>
      </c>
      <c r="AF99" s="98">
        <f t="shared" si="3"/>
        <v>7</v>
      </c>
      <c r="AG99" s="99">
        <f t="shared" si="3"/>
        <v>3</v>
      </c>
      <c r="AI99" s="6"/>
    </row>
    <row r="100" spans="2:35" s="3" customFormat="1" ht="12.75" customHeight="1" thickBot="1" x14ac:dyDescent="0.35">
      <c r="B100" s="93" t="s">
        <v>155</v>
      </c>
      <c r="C100" s="94">
        <f>C98/C99</f>
        <v>0</v>
      </c>
      <c r="D100" s="95">
        <f t="shared" ref="D100:U100" si="4">D98/D99</f>
        <v>0</v>
      </c>
      <c r="E100" s="95">
        <f t="shared" si="4"/>
        <v>0</v>
      </c>
      <c r="F100" s="95">
        <f t="shared" si="4"/>
        <v>0</v>
      </c>
      <c r="G100" s="95">
        <f t="shared" si="4"/>
        <v>0</v>
      </c>
      <c r="H100" s="95">
        <f t="shared" si="4"/>
        <v>0</v>
      </c>
      <c r="I100" s="95">
        <f t="shared" si="4"/>
        <v>0</v>
      </c>
      <c r="J100" s="95">
        <f t="shared" si="4"/>
        <v>0</v>
      </c>
      <c r="K100" s="95">
        <f t="shared" si="4"/>
        <v>0</v>
      </c>
      <c r="L100" s="95">
        <f t="shared" si="4"/>
        <v>0</v>
      </c>
      <c r="M100" s="95">
        <f t="shared" si="4"/>
        <v>0</v>
      </c>
      <c r="N100" s="95">
        <f t="shared" si="4"/>
        <v>0</v>
      </c>
      <c r="O100" s="95">
        <f t="shared" si="4"/>
        <v>0</v>
      </c>
      <c r="P100" s="95">
        <f t="shared" si="4"/>
        <v>0</v>
      </c>
      <c r="Q100" s="95">
        <f t="shared" si="4"/>
        <v>0</v>
      </c>
      <c r="R100" s="95">
        <f t="shared" si="4"/>
        <v>0</v>
      </c>
      <c r="S100" s="95">
        <f t="shared" si="4"/>
        <v>0</v>
      </c>
      <c r="T100" s="95">
        <f t="shared" si="4"/>
        <v>0</v>
      </c>
      <c r="U100" s="109">
        <f t="shared" si="4"/>
        <v>0</v>
      </c>
      <c r="V100" s="112">
        <f t="shared" ref="V100:AG100" si="5">V98/V99</f>
        <v>0</v>
      </c>
      <c r="W100" s="95">
        <f t="shared" si="5"/>
        <v>0</v>
      </c>
      <c r="X100" s="95">
        <f t="shared" si="5"/>
        <v>0</v>
      </c>
      <c r="Y100" s="95">
        <f t="shared" si="5"/>
        <v>0</v>
      </c>
      <c r="Z100" s="95">
        <f t="shared" si="5"/>
        <v>0</v>
      </c>
      <c r="AA100" s="95">
        <f t="shared" si="5"/>
        <v>0</v>
      </c>
      <c r="AB100" s="95">
        <f t="shared" si="5"/>
        <v>0</v>
      </c>
      <c r="AC100" s="95">
        <f t="shared" si="5"/>
        <v>0</v>
      </c>
      <c r="AD100" s="95">
        <f t="shared" si="5"/>
        <v>0</v>
      </c>
      <c r="AE100" s="95">
        <f t="shared" si="5"/>
        <v>0</v>
      </c>
      <c r="AF100" s="95">
        <f t="shared" si="5"/>
        <v>0</v>
      </c>
      <c r="AG100" s="96">
        <f t="shared" si="5"/>
        <v>0</v>
      </c>
      <c r="AI100" s="6"/>
    </row>
    <row r="101" spans="2:35" ht="30.75" customHeight="1" thickBot="1" x14ac:dyDescent="0.35">
      <c r="B101" s="13" t="s">
        <v>4</v>
      </c>
      <c r="C101" s="39" t="s">
        <v>11</v>
      </c>
      <c r="D101" s="39" t="s">
        <v>14</v>
      </c>
      <c r="E101" s="39" t="s">
        <v>16</v>
      </c>
      <c r="F101" s="39" t="s">
        <v>19</v>
      </c>
      <c r="G101" s="39" t="s">
        <v>21</v>
      </c>
      <c r="H101" s="39" t="s">
        <v>23</v>
      </c>
      <c r="I101" s="39" t="s">
        <v>26</v>
      </c>
      <c r="J101" s="39" t="s">
        <v>28</v>
      </c>
      <c r="K101" s="39" t="s">
        <v>30</v>
      </c>
      <c r="L101" s="39" t="s">
        <v>33</v>
      </c>
      <c r="M101" s="39" t="s">
        <v>35</v>
      </c>
      <c r="N101" s="39" t="s">
        <v>37</v>
      </c>
      <c r="O101" s="39" t="s">
        <v>40</v>
      </c>
      <c r="P101" s="39" t="s">
        <v>42</v>
      </c>
      <c r="Q101" s="39" t="s">
        <v>44</v>
      </c>
      <c r="R101" s="39" t="s">
        <v>46</v>
      </c>
      <c r="S101" s="39" t="s">
        <v>48</v>
      </c>
      <c r="T101" s="39" t="s">
        <v>50</v>
      </c>
      <c r="U101" s="43" t="s">
        <v>52</v>
      </c>
      <c r="V101" s="39" t="s">
        <v>59</v>
      </c>
      <c r="W101" s="39" t="s">
        <v>61</v>
      </c>
      <c r="X101" s="39" t="s">
        <v>64</v>
      </c>
      <c r="Y101" s="39" t="s">
        <v>68</v>
      </c>
      <c r="Z101" s="39" t="s">
        <v>70</v>
      </c>
      <c r="AA101" s="39" t="s">
        <v>72</v>
      </c>
      <c r="AB101" s="39" t="s">
        <v>74</v>
      </c>
      <c r="AC101" s="39" t="s">
        <v>76</v>
      </c>
      <c r="AD101" s="39" t="s">
        <v>78</v>
      </c>
      <c r="AE101" s="39" t="s">
        <v>80</v>
      </c>
      <c r="AF101" s="39" t="s">
        <v>82</v>
      </c>
      <c r="AG101" s="43" t="s">
        <v>84</v>
      </c>
    </row>
    <row r="102" spans="2:35" ht="14.4" thickBot="1" x14ac:dyDescent="0.35"/>
    <row r="103" spans="2:35" ht="15.75" customHeight="1" thickBot="1" x14ac:dyDescent="0.35">
      <c r="B103" s="171" t="s">
        <v>156</v>
      </c>
      <c r="C103" s="172"/>
      <c r="D103" s="173"/>
      <c r="E103" s="4"/>
      <c r="F103" s="4"/>
    </row>
    <row r="104" spans="2:35" x14ac:dyDescent="0.3">
      <c r="B104" s="174" t="s">
        <v>157</v>
      </c>
      <c r="C104" s="175"/>
      <c r="D104" s="176"/>
      <c r="E104" s="4"/>
      <c r="F104" s="4"/>
    </row>
    <row r="105" spans="2:35" ht="15.75" customHeight="1" thickBot="1" x14ac:dyDescent="0.35">
      <c r="B105" s="177" t="s">
        <v>158</v>
      </c>
      <c r="C105" s="178"/>
      <c r="D105" s="179"/>
      <c r="E105" s="4"/>
      <c r="F105" s="4"/>
    </row>
    <row r="106" spans="2:35" ht="12.75" customHeight="1" thickBot="1" x14ac:dyDescent="0.35">
      <c r="B106" s="44"/>
      <c r="C106" s="45"/>
      <c r="D106" s="45"/>
    </row>
    <row r="107" spans="2:35" ht="15.75" customHeight="1" thickBot="1" x14ac:dyDescent="0.35">
      <c r="B107" s="171" t="s">
        <v>159</v>
      </c>
      <c r="C107" s="172"/>
      <c r="D107" s="173"/>
    </row>
    <row r="108" spans="2:35" x14ac:dyDescent="0.3">
      <c r="B108" s="180" t="s">
        <v>160</v>
      </c>
      <c r="C108" s="181"/>
      <c r="D108" s="182"/>
    </row>
    <row r="109" spans="2:35" x14ac:dyDescent="0.3">
      <c r="B109" s="165" t="s">
        <v>161</v>
      </c>
      <c r="C109" s="166"/>
      <c r="D109" s="167"/>
    </row>
    <row r="110" spans="2:35" ht="15.75" customHeight="1" thickBot="1" x14ac:dyDescent="0.35">
      <c r="B110" s="168" t="s">
        <v>162</v>
      </c>
      <c r="C110" s="169"/>
      <c r="D110" s="170"/>
    </row>
  </sheetData>
  <mergeCells count="7">
    <mergeCell ref="B109:D109"/>
    <mergeCell ref="B110:D110"/>
    <mergeCell ref="B103:D103"/>
    <mergeCell ref="B104:D104"/>
    <mergeCell ref="B105:D105"/>
    <mergeCell ref="B107:D107"/>
    <mergeCell ref="B108:D108"/>
  </mergeCells>
  <conditionalFormatting sqref="B110">
    <cfRule type="expression" dxfId="22" priority="14">
      <formula>B109&gt;0.3</formula>
    </cfRule>
    <cfRule type="expression" dxfId="21" priority="15">
      <formula>AND(B109&gt;0,B109&lt;0.3)</formula>
    </cfRule>
    <cfRule type="expression" priority="16">
      <formula>B109=0</formula>
    </cfRule>
  </conditionalFormatting>
  <conditionalFormatting sqref="C101:U101">
    <cfRule type="expression" dxfId="20" priority="20">
      <formula>C100&gt;=0.3</formula>
    </cfRule>
    <cfRule type="expression" dxfId="19" priority="21">
      <formula>AND(C100&gt;0,C100&lt;0.3)</formula>
    </cfRule>
  </conditionalFormatting>
  <conditionalFormatting sqref="C101:AG101">
    <cfRule type="expression" priority="3">
      <formula>C100=0</formula>
    </cfRule>
  </conditionalFormatting>
  <conditionalFormatting sqref="D101:U101">
    <cfRule type="expression" dxfId="18" priority="17">
      <formula>D100&gt;0.3</formula>
    </cfRule>
    <cfRule type="expression" dxfId="17" priority="18">
      <formula>AND(D100&gt;0,D100&lt;0.3)</formula>
    </cfRule>
  </conditionalFormatting>
  <conditionalFormatting sqref="K3">
    <cfRule type="expression" priority="13">
      <formula>$C$101</formula>
    </cfRule>
  </conditionalFormatting>
  <conditionalFormatting sqref="V101:AG101">
    <cfRule type="expression" dxfId="16" priority="4">
      <formula>V100&gt;=0.3</formula>
    </cfRule>
    <cfRule type="expression" dxfId="15" priority="5">
      <formula>AND(V100&gt;0,V100&lt;0.3)</formula>
    </cfRule>
  </conditionalFormatting>
  <conditionalFormatting sqref="W101:AG101">
    <cfRule type="expression" dxfId="14" priority="1">
      <formula>W100&gt;0.3</formula>
    </cfRule>
    <cfRule type="expression" dxfId="13" priority="2">
      <formula>AND(W100&gt;0,W100&lt;0.3)</formula>
    </cfRule>
  </conditionalFormatting>
  <pageMargins left="0.7" right="0.7" top="0.75" bottom="0.75" header="0.3" footer="0.3"/>
  <pageSetup paperSize="9" orientation="portrait" r:id="rId1"/>
  <ignoredErrors>
    <ignoredError sqref="D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B1:P215"/>
  <sheetViews>
    <sheetView zoomScale="80" zoomScaleNormal="80" workbookViewId="0">
      <pane ySplit="2" topLeftCell="A3" activePane="bottomLeft" state="frozen"/>
      <selection pane="bottomLeft" activeCell="B2" sqref="B2"/>
    </sheetView>
  </sheetViews>
  <sheetFormatPr baseColWidth="10" defaultColWidth="9.109375" defaultRowHeight="13.8" x14ac:dyDescent="0.3"/>
  <cols>
    <col min="1" max="1" width="0.6640625" style="4" customWidth="1"/>
    <col min="2" max="2" width="30.109375" style="4" bestFit="1" customWidth="1"/>
    <col min="3" max="3" width="65.88671875" style="4" bestFit="1" customWidth="1"/>
    <col min="4" max="4" width="1.6640625" style="4" customWidth="1"/>
    <col min="5" max="5" width="8" style="4" bestFit="1" customWidth="1"/>
    <col min="6" max="6" width="65.88671875" style="4" bestFit="1" customWidth="1"/>
    <col min="7" max="7" width="29.44140625" style="4" bestFit="1" customWidth="1"/>
    <col min="8" max="8" width="1.6640625" style="4" customWidth="1"/>
    <col min="9" max="10" width="30.109375" style="4" bestFit="1" customWidth="1"/>
    <col min="11" max="12" width="24.44140625" style="3" customWidth="1"/>
    <col min="13" max="13" width="9.33203125" style="3" bestFit="1" customWidth="1"/>
    <col min="14" max="14" width="1.6640625" style="4" customWidth="1"/>
    <col min="15" max="15" width="65.88671875" style="4" bestFit="1" customWidth="1"/>
    <col min="16" max="16" width="12.6640625" style="4" bestFit="1" customWidth="1"/>
    <col min="17" max="16384" width="9.109375" style="4"/>
  </cols>
  <sheetData>
    <row r="1" spans="2:16" ht="3" customHeight="1" thickBot="1" x14ac:dyDescent="0.35"/>
    <row r="2" spans="2:16" ht="14.4" thickBot="1" x14ac:dyDescent="0.35">
      <c r="B2" s="46" t="s">
        <v>163</v>
      </c>
      <c r="C2" s="50" t="s">
        <v>164</v>
      </c>
      <c r="E2" s="58" t="s">
        <v>0</v>
      </c>
      <c r="F2" s="50" t="s">
        <v>165</v>
      </c>
      <c r="G2" s="62" t="s">
        <v>163</v>
      </c>
      <c r="I2" s="46" t="s">
        <v>163</v>
      </c>
      <c r="J2" s="50" t="s">
        <v>166</v>
      </c>
      <c r="K2" s="38" t="s">
        <v>167</v>
      </c>
      <c r="L2" s="38" t="s">
        <v>168</v>
      </c>
      <c r="M2" s="38" t="s">
        <v>169</v>
      </c>
      <c r="O2" s="46" t="s">
        <v>165</v>
      </c>
      <c r="P2" s="38" t="s">
        <v>0</v>
      </c>
    </row>
    <row r="3" spans="2:16" x14ac:dyDescent="0.3">
      <c r="B3" s="47" t="s">
        <v>59</v>
      </c>
      <c r="C3" s="51" t="s">
        <v>170</v>
      </c>
      <c r="E3" s="59">
        <f t="shared" ref="E3:E70" si="0">INDEX($P$3:$P$97,MATCH(F3,$O$3:$O$97,0))</f>
        <v>1</v>
      </c>
      <c r="F3" s="51" t="s">
        <v>170</v>
      </c>
      <c r="G3" s="63" t="s">
        <v>59</v>
      </c>
      <c r="I3" s="47" t="s">
        <v>11</v>
      </c>
      <c r="J3" s="51" t="s">
        <v>11</v>
      </c>
      <c r="K3" s="56">
        <f>INDEX('Tabela de Resultados'!$C$99:$AG$99,MATCH('Base de Dados'!J3,'Tabela de Resultados'!$C$2:$AG$2,0))</f>
        <v>9</v>
      </c>
      <c r="L3" s="56">
        <f>INDEX('Perfil Vitaminico'!$C$3:$C$13,MATCH('Base de Dados'!I3,'Perfil Vitaminico'!$B$3:$B$13,0))</f>
        <v>9</v>
      </c>
      <c r="M3" s="56" t="b">
        <f>K3=L3</f>
        <v>1</v>
      </c>
      <c r="O3" s="47" t="s">
        <v>170</v>
      </c>
      <c r="P3" s="56">
        <v>1</v>
      </c>
    </row>
    <row r="4" spans="2:16" x14ac:dyDescent="0.3">
      <c r="B4" s="47" t="s">
        <v>11</v>
      </c>
      <c r="C4" s="51" t="s">
        <v>170</v>
      </c>
      <c r="E4" s="59">
        <f t="shared" si="0"/>
        <v>1</v>
      </c>
      <c r="F4" s="51" t="s">
        <v>170</v>
      </c>
      <c r="G4" s="63" t="s">
        <v>11</v>
      </c>
      <c r="I4" s="48" t="s">
        <v>171</v>
      </c>
      <c r="J4" s="52" t="s">
        <v>14</v>
      </c>
      <c r="K4" s="57">
        <f>INDEX('Tabela de Resultados'!$C$99:$AG$99,MATCH('Base de Dados'!J4,'Tabela de Resultados'!$C$2:$AG$2,0))</f>
        <v>18</v>
      </c>
      <c r="L4" s="57">
        <f>INDEX('Perfil Vitaminico'!$C$3:$C$13,MATCH('Base de Dados'!I4,'Perfil Vitaminico'!$B$3:$B$13,0))</f>
        <v>18</v>
      </c>
      <c r="M4" s="57" t="b">
        <f t="shared" ref="M4:M33" si="1">K4=L4</f>
        <v>1</v>
      </c>
      <c r="O4" s="48" t="s">
        <v>172</v>
      </c>
      <c r="P4" s="57">
        <v>2</v>
      </c>
    </row>
    <row r="5" spans="2:16" x14ac:dyDescent="0.3">
      <c r="B5" s="48" t="s">
        <v>173</v>
      </c>
      <c r="C5" s="52" t="s">
        <v>170</v>
      </c>
      <c r="E5" s="60">
        <f t="shared" si="0"/>
        <v>1</v>
      </c>
      <c r="F5" s="52" t="s">
        <v>170</v>
      </c>
      <c r="G5" s="64" t="s">
        <v>173</v>
      </c>
      <c r="I5" s="48" t="s">
        <v>174</v>
      </c>
      <c r="J5" s="52" t="s">
        <v>16</v>
      </c>
      <c r="K5" s="57">
        <f>INDEX('Tabela de Resultados'!$C$99:$AG$99,MATCH('Base de Dados'!J5,'Tabela de Resultados'!$C$2:$AG$2,0))</f>
        <v>9</v>
      </c>
      <c r="L5" s="57">
        <f>INDEX('Perfil Vitaminico'!$C$3:$C$13,MATCH('Base de Dados'!I5,'Perfil Vitaminico'!$B$3:$B$13,0))</f>
        <v>9</v>
      </c>
      <c r="M5" s="57" t="b">
        <f t="shared" si="1"/>
        <v>1</v>
      </c>
      <c r="O5" s="48" t="s">
        <v>175</v>
      </c>
      <c r="P5" s="57">
        <v>3</v>
      </c>
    </row>
    <row r="6" spans="2:16" x14ac:dyDescent="0.3">
      <c r="B6" s="48" t="s">
        <v>50</v>
      </c>
      <c r="C6" s="52" t="s">
        <v>170</v>
      </c>
      <c r="E6" s="60">
        <f t="shared" si="0"/>
        <v>1</v>
      </c>
      <c r="F6" s="52" t="s">
        <v>170</v>
      </c>
      <c r="G6" s="64" t="s">
        <v>50</v>
      </c>
      <c r="I6" s="48" t="s">
        <v>173</v>
      </c>
      <c r="J6" s="52" t="s">
        <v>19</v>
      </c>
      <c r="K6" s="57">
        <f>INDEX('Tabela de Resultados'!$C$99:$AG$99,MATCH('Base de Dados'!J6,'Tabela de Resultados'!$C$2:$AG$2,0))</f>
        <v>10</v>
      </c>
      <c r="L6" s="57">
        <f>INDEX('Perfil Vitaminico'!$C$3:$C$13,MATCH('Base de Dados'!I6,'Perfil Vitaminico'!$B$3:$B$13,0))</f>
        <v>10</v>
      </c>
      <c r="M6" s="57" t="b">
        <f t="shared" si="1"/>
        <v>1</v>
      </c>
      <c r="O6" s="48" t="s">
        <v>176</v>
      </c>
      <c r="P6" s="57">
        <v>4</v>
      </c>
    </row>
    <row r="7" spans="2:16" x14ac:dyDescent="0.3">
      <c r="B7" s="48" t="s">
        <v>11</v>
      </c>
      <c r="C7" s="52" t="s">
        <v>172</v>
      </c>
      <c r="E7" s="60">
        <f t="shared" si="0"/>
        <v>2</v>
      </c>
      <c r="F7" s="52" t="s">
        <v>172</v>
      </c>
      <c r="G7" s="64" t="s">
        <v>11</v>
      </c>
      <c r="I7" s="48" t="s">
        <v>177</v>
      </c>
      <c r="J7" s="52" t="s">
        <v>21</v>
      </c>
      <c r="K7" s="57">
        <f>INDEX('Tabela de Resultados'!$C$99:$AG$99,MATCH('Base de Dados'!J7,'Tabela de Resultados'!$C$2:$AG$2,0))</f>
        <v>8</v>
      </c>
      <c r="L7" s="57">
        <f>INDEX('Perfil Vitaminico'!$C$3:$C$13,MATCH('Base de Dados'!I7,'Perfil Vitaminico'!$B$3:$B$13,0))</f>
        <v>8</v>
      </c>
      <c r="M7" s="57" t="b">
        <f t="shared" si="1"/>
        <v>1</v>
      </c>
      <c r="O7" s="48" t="s">
        <v>178</v>
      </c>
      <c r="P7" s="57">
        <v>5</v>
      </c>
    </row>
    <row r="8" spans="2:16" x14ac:dyDescent="0.3">
      <c r="B8" s="48" t="s">
        <v>179</v>
      </c>
      <c r="C8" s="52" t="s">
        <v>175</v>
      </c>
      <c r="E8" s="60">
        <f t="shared" si="0"/>
        <v>3</v>
      </c>
      <c r="F8" s="52" t="s">
        <v>175</v>
      </c>
      <c r="G8" s="64" t="s">
        <v>179</v>
      </c>
      <c r="I8" s="48" t="s">
        <v>180</v>
      </c>
      <c r="J8" s="52" t="s">
        <v>23</v>
      </c>
      <c r="K8" s="57">
        <f>INDEX('Tabela de Resultados'!$C$99:$AG$99,MATCH('Base de Dados'!J8,'Tabela de Resultados'!$C$2:$AG$2,0))</f>
        <v>9</v>
      </c>
      <c r="L8" s="57">
        <f>INDEX('Perfil Vitaminico'!$C$3:$C$13,MATCH('Base de Dados'!I8,'Perfil Vitaminico'!$B$3:$B$13,0))</f>
        <v>9</v>
      </c>
      <c r="M8" s="57" t="b">
        <f t="shared" si="1"/>
        <v>1</v>
      </c>
      <c r="O8" s="48" t="s">
        <v>181</v>
      </c>
      <c r="P8" s="57">
        <v>6</v>
      </c>
    </row>
    <row r="9" spans="2:16" x14ac:dyDescent="0.3">
      <c r="B9" s="48" t="s">
        <v>37</v>
      </c>
      <c r="C9" s="52" t="s">
        <v>175</v>
      </c>
      <c r="E9" s="60">
        <f t="shared" si="0"/>
        <v>3</v>
      </c>
      <c r="F9" s="52" t="s">
        <v>175</v>
      </c>
      <c r="G9" s="64" t="s">
        <v>37</v>
      </c>
      <c r="I9" s="48" t="s">
        <v>182</v>
      </c>
      <c r="J9" s="52" t="s">
        <v>26</v>
      </c>
      <c r="K9" s="57">
        <f>INDEX('Tabela de Resultados'!$C$99:$AG$99,MATCH('Base de Dados'!J9,'Tabela de Resultados'!$C$2:$AG$2,0))</f>
        <v>8</v>
      </c>
      <c r="L9" s="57">
        <f>INDEX('Perfil Vitaminico'!$C$3:$C$13,MATCH('Base de Dados'!I9,'Perfil Vitaminico'!$B$3:$B$13,0))</f>
        <v>8</v>
      </c>
      <c r="M9" s="57" t="b">
        <f t="shared" si="1"/>
        <v>1</v>
      </c>
      <c r="O9" s="48" t="s">
        <v>183</v>
      </c>
      <c r="P9" s="57">
        <v>7</v>
      </c>
    </row>
    <row r="10" spans="2:16" x14ac:dyDescent="0.3">
      <c r="B10" s="48" t="s">
        <v>44</v>
      </c>
      <c r="C10" s="52" t="s">
        <v>175</v>
      </c>
      <c r="E10" s="60">
        <f t="shared" si="0"/>
        <v>3</v>
      </c>
      <c r="F10" s="52" t="s">
        <v>175</v>
      </c>
      <c r="G10" s="64" t="s">
        <v>44</v>
      </c>
      <c r="I10" s="48" t="s">
        <v>28</v>
      </c>
      <c r="J10" s="52" t="s">
        <v>28</v>
      </c>
      <c r="K10" s="57">
        <f>INDEX('Tabela de Resultados'!$C$99:$AG$99,MATCH('Base de Dados'!J10,'Tabela de Resultados'!$C$2:$AG$2,0))</f>
        <v>9</v>
      </c>
      <c r="L10" s="57">
        <f>INDEX('Perfil Vitaminico'!$C$3:$C$13,MATCH('Base de Dados'!I10,'Perfil Vitaminico'!$B$3:$B$13,0))</f>
        <v>9</v>
      </c>
      <c r="M10" s="57" t="b">
        <f t="shared" si="1"/>
        <v>1</v>
      </c>
      <c r="O10" s="48" t="s">
        <v>184</v>
      </c>
      <c r="P10" s="57">
        <v>8</v>
      </c>
    </row>
    <row r="11" spans="2:16" x14ac:dyDescent="0.3">
      <c r="B11" s="48" t="s">
        <v>171</v>
      </c>
      <c r="C11" s="52" t="s">
        <v>175</v>
      </c>
      <c r="E11" s="60">
        <f t="shared" si="0"/>
        <v>3</v>
      </c>
      <c r="F11" s="52" t="s">
        <v>175</v>
      </c>
      <c r="G11" s="64" t="s">
        <v>171</v>
      </c>
      <c r="I11" s="48" t="s">
        <v>185</v>
      </c>
      <c r="J11" s="52" t="s">
        <v>30</v>
      </c>
      <c r="K11" s="57">
        <f>INDEX('Tabela de Resultados'!$C$99:$AG$99,MATCH('Base de Dados'!J11,'Tabela de Resultados'!$C$2:$AG$2,0))</f>
        <v>8</v>
      </c>
      <c r="L11" s="57">
        <f>INDEX('Perfil Vitaminico'!$C$3:$C$13,MATCH('Base de Dados'!I11,'Perfil Vitaminico'!$B$3:$B$13,0))</f>
        <v>8</v>
      </c>
      <c r="M11" s="57" t="b">
        <f t="shared" si="1"/>
        <v>1</v>
      </c>
      <c r="O11" s="48" t="s">
        <v>186</v>
      </c>
      <c r="P11" s="57">
        <v>9</v>
      </c>
    </row>
    <row r="12" spans="2:16" x14ac:dyDescent="0.3">
      <c r="B12" s="48" t="s">
        <v>180</v>
      </c>
      <c r="C12" s="52" t="s">
        <v>175</v>
      </c>
      <c r="E12" s="60">
        <f t="shared" si="0"/>
        <v>3</v>
      </c>
      <c r="F12" s="52" t="s">
        <v>175</v>
      </c>
      <c r="G12" s="64" t="s">
        <v>180</v>
      </c>
      <c r="I12" s="48" t="s">
        <v>179</v>
      </c>
      <c r="J12" s="52" t="s">
        <v>33</v>
      </c>
      <c r="K12" s="57">
        <f>INDEX('Tabela de Resultados'!$C$99:$AG$99,MATCH('Base de Dados'!J12,'Tabela de Resultados'!$C$2:$AG$2,0))</f>
        <v>9</v>
      </c>
      <c r="L12" s="57">
        <f>INDEX('Perfil Vitaminico'!$C$3:$C$13,MATCH('Base de Dados'!I12,'Perfil Vitaminico'!$B$3:$B$13,0))</f>
        <v>9</v>
      </c>
      <c r="M12" s="57" t="b">
        <f t="shared" si="1"/>
        <v>1</v>
      </c>
      <c r="O12" s="48" t="s">
        <v>187</v>
      </c>
      <c r="P12" s="57">
        <v>10</v>
      </c>
    </row>
    <row r="13" spans="2:16" x14ac:dyDescent="0.3">
      <c r="B13" s="48" t="s">
        <v>173</v>
      </c>
      <c r="C13" s="52" t="s">
        <v>175</v>
      </c>
      <c r="E13" s="60">
        <f t="shared" si="0"/>
        <v>3</v>
      </c>
      <c r="F13" s="52" t="s">
        <v>175</v>
      </c>
      <c r="G13" s="64" t="s">
        <v>173</v>
      </c>
      <c r="I13" s="48" t="s">
        <v>35</v>
      </c>
      <c r="J13" s="52" t="s">
        <v>35</v>
      </c>
      <c r="K13" s="57">
        <f>INDEX('Tabela de Resultados'!$C$99:$AG$99,MATCH('Base de Dados'!J13,'Tabela de Resultados'!$C$2:$AG$2,0))</f>
        <v>9</v>
      </c>
      <c r="L13" s="57">
        <f>INDEX('Perfil Vitaminico'!$C$3:$C$13,MATCH('Base de Dados'!I13,'Perfil Vitaminico'!$B$3:$B$13,0))</f>
        <v>9</v>
      </c>
      <c r="M13" s="57" t="b">
        <f t="shared" si="1"/>
        <v>1</v>
      </c>
      <c r="O13" s="48" t="s">
        <v>188</v>
      </c>
      <c r="P13" s="57">
        <v>11</v>
      </c>
    </row>
    <row r="14" spans="2:16" x14ac:dyDescent="0.3">
      <c r="B14" s="48" t="s">
        <v>28</v>
      </c>
      <c r="C14" s="52" t="s">
        <v>175</v>
      </c>
      <c r="E14" s="60">
        <f t="shared" si="0"/>
        <v>3</v>
      </c>
      <c r="F14" s="52" t="s">
        <v>175</v>
      </c>
      <c r="G14" s="64" t="s">
        <v>28</v>
      </c>
      <c r="I14" s="48" t="s">
        <v>37</v>
      </c>
      <c r="J14" s="52" t="s">
        <v>37</v>
      </c>
      <c r="K14" s="57">
        <f>INDEX('Tabela de Resultados'!$C$99:$AG$99,MATCH('Base de Dados'!J14,'Tabela de Resultados'!$C$2:$AG$2,0))</f>
        <v>9</v>
      </c>
      <c r="L14" s="57">
        <f>INDEX('Perfil Mineral'!$C$3:$C$9,MATCH('Base de Dados'!I14,'Perfil Mineral'!$B$3:$B$9,0))</f>
        <v>9</v>
      </c>
      <c r="M14" s="57" t="b">
        <f t="shared" si="1"/>
        <v>1</v>
      </c>
      <c r="O14" s="48" t="s">
        <v>189</v>
      </c>
      <c r="P14" s="57">
        <v>12</v>
      </c>
    </row>
    <row r="15" spans="2:16" x14ac:dyDescent="0.3">
      <c r="B15" s="48" t="s">
        <v>171</v>
      </c>
      <c r="C15" s="52" t="s">
        <v>176</v>
      </c>
      <c r="E15" s="60">
        <f t="shared" si="0"/>
        <v>4</v>
      </c>
      <c r="F15" s="52" t="s">
        <v>176</v>
      </c>
      <c r="G15" s="64" t="s">
        <v>171</v>
      </c>
      <c r="I15" s="48" t="s">
        <v>40</v>
      </c>
      <c r="J15" s="52" t="s">
        <v>40</v>
      </c>
      <c r="K15" s="57">
        <f>INDEX('Tabela de Resultados'!$C$99:$AG$99,MATCH('Base de Dados'!J15,'Tabela de Resultados'!$C$2:$AG$2,0))</f>
        <v>6</v>
      </c>
      <c r="L15" s="57">
        <f>INDEX('Perfil Mineral'!$C$3:$C$9,MATCH('Base de Dados'!I15,'Perfil Mineral'!$B$3:$B$9,0))</f>
        <v>6</v>
      </c>
      <c r="M15" s="57" t="b">
        <f t="shared" si="1"/>
        <v>1</v>
      </c>
      <c r="O15" s="48" t="s">
        <v>190</v>
      </c>
      <c r="P15" s="57">
        <v>13</v>
      </c>
    </row>
    <row r="16" spans="2:16" x14ac:dyDescent="0.3">
      <c r="B16" s="48" t="s">
        <v>171</v>
      </c>
      <c r="C16" s="52" t="s">
        <v>178</v>
      </c>
      <c r="E16" s="60">
        <f t="shared" si="0"/>
        <v>5</v>
      </c>
      <c r="F16" s="52" t="s">
        <v>178</v>
      </c>
      <c r="G16" s="64" t="s">
        <v>171</v>
      </c>
      <c r="I16" s="48" t="s">
        <v>42</v>
      </c>
      <c r="J16" s="52" t="s">
        <v>42</v>
      </c>
      <c r="K16" s="57">
        <f>INDEX('Tabela de Resultados'!$C$99:$AG$99,MATCH('Base de Dados'!J16,'Tabela de Resultados'!$C$2:$AG$2,0))</f>
        <v>6</v>
      </c>
      <c r="L16" s="57">
        <f>INDEX('Perfil Mineral'!$C$3:$C$9,MATCH('Base de Dados'!I16,'Perfil Mineral'!$B$3:$B$9,0))</f>
        <v>6</v>
      </c>
      <c r="M16" s="57" t="b">
        <f t="shared" si="1"/>
        <v>1</v>
      </c>
      <c r="O16" s="48" t="s">
        <v>41</v>
      </c>
      <c r="P16" s="57">
        <v>14</v>
      </c>
    </row>
    <row r="17" spans="2:16" x14ac:dyDescent="0.3">
      <c r="B17" s="48" t="s">
        <v>44</v>
      </c>
      <c r="C17" s="52" t="s">
        <v>181</v>
      </c>
      <c r="E17" s="60">
        <f t="shared" si="0"/>
        <v>6</v>
      </c>
      <c r="F17" s="52" t="s">
        <v>181</v>
      </c>
      <c r="G17" s="64" t="s">
        <v>44</v>
      </c>
      <c r="I17" s="48" t="s">
        <v>44</v>
      </c>
      <c r="J17" s="52" t="s">
        <v>44</v>
      </c>
      <c r="K17" s="57">
        <f>INDEX('Tabela de Resultados'!$C$99:$AG$99,MATCH('Base de Dados'!J17,'Tabela de Resultados'!$C$2:$AG$2,0))</f>
        <v>14</v>
      </c>
      <c r="L17" s="57">
        <f>INDEX('Perfil Mineral'!$C$3:$C$9,MATCH('Base de Dados'!I17,'Perfil Mineral'!$B$3:$B$9,0))</f>
        <v>14</v>
      </c>
      <c r="M17" s="57" t="b">
        <f t="shared" si="1"/>
        <v>1</v>
      </c>
      <c r="O17" s="48" t="s">
        <v>43</v>
      </c>
      <c r="P17" s="57">
        <v>15</v>
      </c>
    </row>
    <row r="18" spans="2:16" x14ac:dyDescent="0.3">
      <c r="B18" s="48" t="s">
        <v>171</v>
      </c>
      <c r="C18" s="52" t="s">
        <v>181</v>
      </c>
      <c r="E18" s="60">
        <f t="shared" si="0"/>
        <v>6</v>
      </c>
      <c r="F18" s="52" t="s">
        <v>181</v>
      </c>
      <c r="G18" s="64" t="s">
        <v>171</v>
      </c>
      <c r="I18" s="48" t="s">
        <v>46</v>
      </c>
      <c r="J18" s="52" t="s">
        <v>46</v>
      </c>
      <c r="K18" s="57">
        <f>INDEX('Tabela de Resultados'!$C$99:$AG$99,MATCH('Base de Dados'!J18,'Tabela de Resultados'!$C$2:$AG$2,0))</f>
        <v>5</v>
      </c>
      <c r="L18" s="57">
        <f>INDEX('Perfil Mineral'!$C$3:$C$9,MATCH('Base de Dados'!I18,'Perfil Mineral'!$B$3:$B$9,0))</f>
        <v>5</v>
      </c>
      <c r="M18" s="57" t="b">
        <f t="shared" si="1"/>
        <v>1</v>
      </c>
      <c r="O18" s="48" t="s">
        <v>191</v>
      </c>
      <c r="P18" s="57">
        <v>16</v>
      </c>
    </row>
    <row r="19" spans="2:16" x14ac:dyDescent="0.3">
      <c r="B19" s="48" t="s">
        <v>180</v>
      </c>
      <c r="C19" s="52" t="s">
        <v>183</v>
      </c>
      <c r="E19" s="60">
        <f t="shared" si="0"/>
        <v>7</v>
      </c>
      <c r="F19" s="52" t="s">
        <v>183</v>
      </c>
      <c r="G19" s="64" t="s">
        <v>180</v>
      </c>
      <c r="I19" s="48" t="s">
        <v>48</v>
      </c>
      <c r="J19" s="52" t="s">
        <v>48</v>
      </c>
      <c r="K19" s="57">
        <f>INDEX('Tabela de Resultados'!$C$99:$AG$99,MATCH('Base de Dados'!J19,'Tabela de Resultados'!$C$2:$AG$2,0))</f>
        <v>4</v>
      </c>
      <c r="L19" s="57">
        <f>INDEX('Perfil Mineral'!$C$3:$C$9,MATCH('Base de Dados'!I19,'Perfil Mineral'!$B$3:$B$9,0))</f>
        <v>4</v>
      </c>
      <c r="M19" s="57" t="b">
        <f t="shared" si="1"/>
        <v>1</v>
      </c>
      <c r="O19" s="48" t="s">
        <v>192</v>
      </c>
      <c r="P19" s="57">
        <v>17</v>
      </c>
    </row>
    <row r="20" spans="2:16" x14ac:dyDescent="0.3">
      <c r="B20" s="48" t="s">
        <v>35</v>
      </c>
      <c r="C20" s="52" t="s">
        <v>184</v>
      </c>
      <c r="E20" s="60">
        <f t="shared" si="0"/>
        <v>8</v>
      </c>
      <c r="F20" s="52" t="s">
        <v>184</v>
      </c>
      <c r="G20" s="64" t="s">
        <v>35</v>
      </c>
      <c r="I20" s="48" t="s">
        <v>50</v>
      </c>
      <c r="J20" s="52" t="s">
        <v>50</v>
      </c>
      <c r="K20" s="57">
        <f>INDEX('Tabela de Resultados'!$C$99:$AG$99,MATCH('Base de Dados'!J20,'Tabela de Resultados'!$C$2:$AG$2,0))</f>
        <v>8</v>
      </c>
      <c r="L20" s="57">
        <f>INDEX('Perfil Mineral'!$C$3:$C$9,MATCH('Base de Dados'!I20,'Perfil Mineral'!$B$3:$B$9,0))</f>
        <v>8</v>
      </c>
      <c r="M20" s="57" t="b">
        <f t="shared" si="1"/>
        <v>1</v>
      </c>
      <c r="O20" s="48" t="s">
        <v>193</v>
      </c>
      <c r="P20" s="57">
        <v>18</v>
      </c>
    </row>
    <row r="21" spans="2:16" ht="14.4" thickBot="1" x14ac:dyDescent="0.35">
      <c r="B21" s="48" t="s">
        <v>194</v>
      </c>
      <c r="C21" s="52" t="s">
        <v>186</v>
      </c>
      <c r="E21" s="60">
        <f t="shared" si="0"/>
        <v>9</v>
      </c>
      <c r="F21" s="52" t="s">
        <v>186</v>
      </c>
      <c r="G21" s="64" t="s">
        <v>194</v>
      </c>
      <c r="I21" s="49" t="s">
        <v>194</v>
      </c>
      <c r="J21" s="53" t="s">
        <v>52</v>
      </c>
      <c r="K21" s="27">
        <f>INDEX('Tabela de Resultados'!$C$99:$AG$99,MATCH('Base de Dados'!J21,'Tabela de Resultados'!$C$2:$AG$2,0))</f>
        <v>13</v>
      </c>
      <c r="L21" s="27">
        <f>INDEX('Perfil de A. Gordos'!C3,MATCH('Base de Dados'!I21,'Perfil de A. Gordos'!B3,0))</f>
        <v>13</v>
      </c>
      <c r="M21" s="27" t="b">
        <f t="shared" si="1"/>
        <v>1</v>
      </c>
      <c r="O21" s="48" t="s">
        <v>195</v>
      </c>
      <c r="P21" s="57">
        <v>19</v>
      </c>
    </row>
    <row r="22" spans="2:16" x14ac:dyDescent="0.3">
      <c r="B22" s="48" t="s">
        <v>174</v>
      </c>
      <c r="C22" s="52" t="s">
        <v>187</v>
      </c>
      <c r="E22" s="60">
        <f t="shared" si="0"/>
        <v>10</v>
      </c>
      <c r="F22" s="52" t="s">
        <v>187</v>
      </c>
      <c r="G22" s="64" t="s">
        <v>174</v>
      </c>
      <c r="I22" s="84" t="s">
        <v>59</v>
      </c>
      <c r="J22" s="85" t="s">
        <v>59</v>
      </c>
      <c r="K22" s="129">
        <f>INDEX('Tabela de Resultados'!$C$99:$AG$99,MATCH('Base de Dados'!J22,'Tabela de Resultados'!$C$2:$AG$2,0))</f>
        <v>9</v>
      </c>
      <c r="L22" s="129">
        <f>INDEX('Suplem. Adicionais'!$C$3:$C$14,MATCH('Base de Dados'!I22,'Suplem. Adicionais'!$B$3:$B$14,0))</f>
        <v>9</v>
      </c>
      <c r="M22" s="129" t="b">
        <f t="shared" si="1"/>
        <v>1</v>
      </c>
      <c r="O22" s="48" t="s">
        <v>196</v>
      </c>
      <c r="P22" s="57">
        <v>20</v>
      </c>
    </row>
    <row r="23" spans="2:16" x14ac:dyDescent="0.3">
      <c r="B23" s="48" t="s">
        <v>37</v>
      </c>
      <c r="C23" s="52" t="s">
        <v>188</v>
      </c>
      <c r="E23" s="60">
        <f t="shared" si="0"/>
        <v>11</v>
      </c>
      <c r="F23" s="52" t="s">
        <v>188</v>
      </c>
      <c r="G23" s="64" t="s">
        <v>37</v>
      </c>
      <c r="I23" s="80" t="s">
        <v>61</v>
      </c>
      <c r="J23" s="83" t="s">
        <v>61</v>
      </c>
      <c r="K23" s="82">
        <f>INDEX('Tabela de Resultados'!$C$99:$AG$99,MATCH('Base de Dados'!J23,'Tabela de Resultados'!$C$2:$AG$2,0))</f>
        <v>1</v>
      </c>
      <c r="L23" s="82">
        <f>INDEX('Suplem. Adicionais'!$C$3:$C$14,MATCH('Base de Dados'!I23,'Suplem. Adicionais'!$B$3:$B$14,0))</f>
        <v>1</v>
      </c>
      <c r="M23" s="82" t="b">
        <f t="shared" si="1"/>
        <v>1</v>
      </c>
      <c r="O23" s="48" t="s">
        <v>197</v>
      </c>
      <c r="P23" s="57">
        <v>21</v>
      </c>
    </row>
    <row r="24" spans="2:16" x14ac:dyDescent="0.3">
      <c r="B24" s="48" t="s">
        <v>44</v>
      </c>
      <c r="C24" s="52" t="s">
        <v>188</v>
      </c>
      <c r="E24" s="60">
        <f t="shared" si="0"/>
        <v>11</v>
      </c>
      <c r="F24" s="52" t="s">
        <v>188</v>
      </c>
      <c r="G24" s="64" t="s">
        <v>44</v>
      </c>
      <c r="I24" s="80" t="s">
        <v>64</v>
      </c>
      <c r="J24" s="83" t="s">
        <v>64</v>
      </c>
      <c r="K24" s="82">
        <f>INDEX('Tabela de Resultados'!$C$99:$AG$99,MATCH('Base de Dados'!J24,'Tabela de Resultados'!$C$2:$AG$2,0))</f>
        <v>3</v>
      </c>
      <c r="L24" s="82">
        <f>INDEX('Suplem. Adicionais'!$C$3:$C$14,MATCH('Base de Dados'!I24,'Suplem. Adicionais'!$B$3:$B$14,0))</f>
        <v>3</v>
      </c>
      <c r="M24" s="82" t="b">
        <f t="shared" si="1"/>
        <v>1</v>
      </c>
      <c r="O24" s="48" t="s">
        <v>198</v>
      </c>
      <c r="P24" s="57">
        <v>22</v>
      </c>
    </row>
    <row r="25" spans="2:16" x14ac:dyDescent="0.3">
      <c r="B25" s="48" t="s">
        <v>171</v>
      </c>
      <c r="C25" s="52" t="s">
        <v>188</v>
      </c>
      <c r="E25" s="60">
        <f t="shared" si="0"/>
        <v>11</v>
      </c>
      <c r="F25" s="52" t="s">
        <v>188</v>
      </c>
      <c r="G25" s="64" t="s">
        <v>171</v>
      </c>
      <c r="I25" s="80" t="s">
        <v>68</v>
      </c>
      <c r="J25" s="83" t="s">
        <v>68</v>
      </c>
      <c r="K25" s="82">
        <f>INDEX('Tabela de Resultados'!$C$99:$AG$99,MATCH('Base de Dados'!J25,'Tabela de Resultados'!$C$2:$AG$2,0))</f>
        <v>4</v>
      </c>
      <c r="L25" s="82">
        <f>INDEX('Suplem. Adicionais'!$C$3:$C$14,MATCH('Base de Dados'!I25,'Suplem. Adicionais'!$B$3:$B$14,0))</f>
        <v>4</v>
      </c>
      <c r="M25" s="82" t="b">
        <f t="shared" si="1"/>
        <v>1</v>
      </c>
      <c r="O25" s="48" t="s">
        <v>199</v>
      </c>
      <c r="P25" s="57">
        <v>23</v>
      </c>
    </row>
    <row r="26" spans="2:16" x14ac:dyDescent="0.3">
      <c r="B26" s="48" t="s">
        <v>177</v>
      </c>
      <c r="C26" s="52" t="s">
        <v>188</v>
      </c>
      <c r="E26" s="60">
        <f t="shared" si="0"/>
        <v>11</v>
      </c>
      <c r="F26" s="52" t="s">
        <v>188</v>
      </c>
      <c r="G26" s="64" t="s">
        <v>177</v>
      </c>
      <c r="I26" s="80" t="s">
        <v>70</v>
      </c>
      <c r="J26" s="83" t="s">
        <v>70</v>
      </c>
      <c r="K26" s="82">
        <f>INDEX('Tabela de Resultados'!$C$99:$AG$99,MATCH('Base de Dados'!J26,'Tabela de Resultados'!$C$2:$AG$2,0))</f>
        <v>1</v>
      </c>
      <c r="L26" s="82">
        <f>INDEX('Suplem. Adicionais'!$C$3:$C$14,MATCH('Base de Dados'!I26,'Suplem. Adicionais'!$B$3:$B$14,0))</f>
        <v>1</v>
      </c>
      <c r="M26" s="82" t="b">
        <f t="shared" si="1"/>
        <v>1</v>
      </c>
      <c r="O26" s="48" t="s">
        <v>200</v>
      </c>
      <c r="P26" s="57">
        <v>24</v>
      </c>
    </row>
    <row r="27" spans="2:16" x14ac:dyDescent="0.3">
      <c r="B27" s="48" t="s">
        <v>64</v>
      </c>
      <c r="C27" s="52" t="s">
        <v>189</v>
      </c>
      <c r="E27" s="60">
        <f t="shared" si="0"/>
        <v>12</v>
      </c>
      <c r="F27" s="52" t="s">
        <v>189</v>
      </c>
      <c r="G27" s="64" t="s">
        <v>64</v>
      </c>
      <c r="I27" s="80" t="s">
        <v>72</v>
      </c>
      <c r="J27" s="83" t="s">
        <v>72</v>
      </c>
      <c r="K27" s="82">
        <f>INDEX('Tabela de Resultados'!$C$99:$AG$99,MATCH('Base de Dados'!J27,'Tabela de Resultados'!$C$2:$AG$2,0))</f>
        <v>2</v>
      </c>
      <c r="L27" s="82">
        <f>INDEX('Suplem. Adicionais'!$C$3:$C$14,MATCH('Base de Dados'!I27,'Suplem. Adicionais'!$B$3:$B$14,0))</f>
        <v>2</v>
      </c>
      <c r="M27" s="82" t="b">
        <f t="shared" si="1"/>
        <v>1</v>
      </c>
      <c r="O27" s="48" t="s">
        <v>201</v>
      </c>
      <c r="P27" s="57">
        <v>25</v>
      </c>
    </row>
    <row r="28" spans="2:16" x14ac:dyDescent="0.3">
      <c r="B28" s="48" t="s">
        <v>74</v>
      </c>
      <c r="C28" s="52" t="s">
        <v>189</v>
      </c>
      <c r="E28" s="60">
        <f t="shared" si="0"/>
        <v>12</v>
      </c>
      <c r="F28" s="52" t="s">
        <v>189</v>
      </c>
      <c r="G28" s="64" t="s">
        <v>74</v>
      </c>
      <c r="I28" s="80" t="s">
        <v>74</v>
      </c>
      <c r="J28" s="83" t="s">
        <v>74</v>
      </c>
      <c r="K28" s="82">
        <f>INDEX('Tabela de Resultados'!$C$99:$AG$99,MATCH('Base de Dados'!J28,'Tabela de Resultados'!$C$2:$AG$2,0))</f>
        <v>5</v>
      </c>
      <c r="L28" s="82">
        <f>INDEX('Suplem. Adicionais'!$C$3:$C$14,MATCH('Base de Dados'!I28,'Suplem. Adicionais'!$B$3:$B$14,0))</f>
        <v>5</v>
      </c>
      <c r="M28" s="82" t="b">
        <f t="shared" si="1"/>
        <v>1</v>
      </c>
      <c r="O28" s="48" t="s">
        <v>202</v>
      </c>
      <c r="P28" s="57">
        <v>26</v>
      </c>
    </row>
    <row r="29" spans="2:16" x14ac:dyDescent="0.3">
      <c r="B29" s="48" t="s">
        <v>82</v>
      </c>
      <c r="C29" s="52" t="s">
        <v>189</v>
      </c>
      <c r="E29" s="60">
        <f t="shared" si="0"/>
        <v>12</v>
      </c>
      <c r="F29" s="52" t="s">
        <v>189</v>
      </c>
      <c r="G29" s="64" t="s">
        <v>82</v>
      </c>
      <c r="I29" s="80" t="s">
        <v>76</v>
      </c>
      <c r="J29" s="83" t="s">
        <v>76</v>
      </c>
      <c r="K29" s="82">
        <f>INDEX('Tabela de Resultados'!$C$99:$AG$99,MATCH('Base de Dados'!J29,'Tabela de Resultados'!$C$2:$AG$2,0))</f>
        <v>3</v>
      </c>
      <c r="L29" s="82">
        <f>INDEX('Suplem. Adicionais'!$C$3:$C$14,MATCH('Base de Dados'!I29,'Suplem. Adicionais'!$B$3:$B$14,0))</f>
        <v>3</v>
      </c>
      <c r="M29" s="82" t="b">
        <f t="shared" si="1"/>
        <v>1</v>
      </c>
      <c r="O29" s="48" t="s">
        <v>203</v>
      </c>
      <c r="P29" s="57">
        <v>27</v>
      </c>
    </row>
    <row r="30" spans="2:16" x14ac:dyDescent="0.3">
      <c r="B30" s="48" t="s">
        <v>171</v>
      </c>
      <c r="C30" s="52" t="s">
        <v>189</v>
      </c>
      <c r="E30" s="60">
        <f t="shared" si="0"/>
        <v>12</v>
      </c>
      <c r="F30" s="52" t="s">
        <v>189</v>
      </c>
      <c r="G30" s="64" t="s">
        <v>171</v>
      </c>
      <c r="I30" s="80" t="s">
        <v>78</v>
      </c>
      <c r="J30" s="83" t="s">
        <v>78</v>
      </c>
      <c r="K30" s="82">
        <f>INDEX('Tabela de Resultados'!$C$99:$AG$99,MATCH('Base de Dados'!J30,'Tabela de Resultados'!$C$2:$AG$2,0))</f>
        <v>3</v>
      </c>
      <c r="L30" s="82">
        <f>INDEX('Suplem. Adicionais'!$C$3:$C$14,MATCH('Base de Dados'!I30,'Suplem. Adicionais'!$B$3:$B$14,0))</f>
        <v>3</v>
      </c>
      <c r="M30" s="82" t="b">
        <f t="shared" si="1"/>
        <v>1</v>
      </c>
      <c r="O30" s="48" t="s">
        <v>204</v>
      </c>
      <c r="P30" s="57">
        <v>28</v>
      </c>
    </row>
    <row r="31" spans="2:16" x14ac:dyDescent="0.3">
      <c r="B31" s="48" t="s">
        <v>185</v>
      </c>
      <c r="C31" s="52" t="s">
        <v>189</v>
      </c>
      <c r="E31" s="60">
        <f t="shared" si="0"/>
        <v>12</v>
      </c>
      <c r="F31" s="52" t="s">
        <v>189</v>
      </c>
      <c r="G31" s="64" t="s">
        <v>185</v>
      </c>
      <c r="I31" s="80" t="s">
        <v>80</v>
      </c>
      <c r="J31" s="83" t="s">
        <v>80</v>
      </c>
      <c r="K31" s="82">
        <f>INDEX('Tabela de Resultados'!$C$99:$AG$99,MATCH('Base de Dados'!J31,'Tabela de Resultados'!$C$2:$AG$2,0))</f>
        <v>2</v>
      </c>
      <c r="L31" s="82">
        <f>INDEX('Suplem. Adicionais'!$C$3:$C$14,MATCH('Base de Dados'!I31,'Suplem. Adicionais'!$B$3:$B$14,0))</f>
        <v>2</v>
      </c>
      <c r="M31" s="82" t="b">
        <f t="shared" si="1"/>
        <v>1</v>
      </c>
      <c r="O31" s="48" t="s">
        <v>205</v>
      </c>
      <c r="P31" s="57">
        <v>29</v>
      </c>
    </row>
    <row r="32" spans="2:16" x14ac:dyDescent="0.3">
      <c r="B32" s="48" t="s">
        <v>37</v>
      </c>
      <c r="C32" s="52" t="s">
        <v>190</v>
      </c>
      <c r="E32" s="60">
        <f t="shared" si="0"/>
        <v>13</v>
      </c>
      <c r="F32" s="52" t="s">
        <v>190</v>
      </c>
      <c r="G32" s="64" t="s">
        <v>37</v>
      </c>
      <c r="I32" s="80" t="s">
        <v>82</v>
      </c>
      <c r="J32" s="83" t="s">
        <v>82</v>
      </c>
      <c r="K32" s="82">
        <f>INDEX('Tabela de Resultados'!$C$99:$AG$99,MATCH('Base de Dados'!J32,'Tabela de Resultados'!$C$2:$AG$2,0))</f>
        <v>7</v>
      </c>
      <c r="L32" s="82">
        <f>INDEX('Suplem. Adicionais'!$C$3:$C$14,MATCH('Base de Dados'!I32,'Suplem. Adicionais'!$B$3:$B$14,0))</f>
        <v>7</v>
      </c>
      <c r="M32" s="82" t="b">
        <f t="shared" si="1"/>
        <v>1</v>
      </c>
      <c r="O32" s="48" t="s">
        <v>206</v>
      </c>
      <c r="P32" s="57">
        <v>30</v>
      </c>
    </row>
    <row r="33" spans="2:16" ht="14.4" thickBot="1" x14ac:dyDescent="0.35">
      <c r="B33" s="48" t="s">
        <v>11</v>
      </c>
      <c r="C33" s="52" t="s">
        <v>41</v>
      </c>
      <c r="E33" s="60">
        <f t="shared" si="0"/>
        <v>14</v>
      </c>
      <c r="F33" s="52" t="s">
        <v>41</v>
      </c>
      <c r="G33" s="64" t="s">
        <v>11</v>
      </c>
      <c r="I33" s="81" t="s">
        <v>84</v>
      </c>
      <c r="J33" s="86" t="s">
        <v>84</v>
      </c>
      <c r="K33" s="130">
        <f>INDEX('Tabela de Resultados'!$C$99:$AG$99,MATCH('Base de Dados'!J33,'Tabela de Resultados'!$C$2:$AG$2,0))</f>
        <v>3</v>
      </c>
      <c r="L33" s="130">
        <f>INDEX('Suplem. Adicionais'!$C$3:$C$14,MATCH('Base de Dados'!I33,'Suplem. Adicionais'!$B$3:$B$14,0))</f>
        <v>3</v>
      </c>
      <c r="M33" s="130" t="b">
        <f t="shared" si="1"/>
        <v>1</v>
      </c>
      <c r="O33" s="48" t="s">
        <v>207</v>
      </c>
      <c r="P33" s="57">
        <v>31</v>
      </c>
    </row>
    <row r="34" spans="2:16" x14ac:dyDescent="0.3">
      <c r="B34" s="48" t="s">
        <v>48</v>
      </c>
      <c r="C34" s="52" t="s">
        <v>43</v>
      </c>
      <c r="E34" s="60">
        <f t="shared" si="0"/>
        <v>15</v>
      </c>
      <c r="F34" s="52" t="s">
        <v>43</v>
      </c>
      <c r="G34" s="64" t="s">
        <v>48</v>
      </c>
      <c r="O34" s="48" t="s">
        <v>81</v>
      </c>
      <c r="P34" s="57">
        <v>32</v>
      </c>
    </row>
    <row r="35" spans="2:16" x14ac:dyDescent="0.3">
      <c r="B35" s="48" t="s">
        <v>174</v>
      </c>
      <c r="C35" s="52" t="s">
        <v>43</v>
      </c>
      <c r="E35" s="60">
        <f t="shared" si="0"/>
        <v>15</v>
      </c>
      <c r="F35" s="52" t="s">
        <v>43</v>
      </c>
      <c r="G35" s="64" t="s">
        <v>174</v>
      </c>
      <c r="O35" s="48" t="s">
        <v>208</v>
      </c>
      <c r="P35" s="57">
        <v>33</v>
      </c>
    </row>
    <row r="36" spans="2:16" x14ac:dyDescent="0.3">
      <c r="B36" s="48" t="s">
        <v>182</v>
      </c>
      <c r="C36" s="52" t="s">
        <v>191</v>
      </c>
      <c r="E36" s="60">
        <f t="shared" si="0"/>
        <v>16</v>
      </c>
      <c r="F36" s="52" t="s">
        <v>191</v>
      </c>
      <c r="G36" s="64" t="s">
        <v>182</v>
      </c>
      <c r="O36" s="48" t="s">
        <v>209</v>
      </c>
      <c r="P36" s="57">
        <v>34</v>
      </c>
    </row>
    <row r="37" spans="2:16" x14ac:dyDescent="0.3">
      <c r="B37" s="48" t="s">
        <v>185</v>
      </c>
      <c r="C37" s="52" t="s">
        <v>191</v>
      </c>
      <c r="E37" s="60">
        <f t="shared" si="0"/>
        <v>16</v>
      </c>
      <c r="F37" s="52" t="s">
        <v>191</v>
      </c>
      <c r="G37" s="64" t="s">
        <v>185</v>
      </c>
      <c r="O37" s="48" t="s">
        <v>87</v>
      </c>
      <c r="P37" s="57">
        <v>35</v>
      </c>
    </row>
    <row r="38" spans="2:16" x14ac:dyDescent="0.3">
      <c r="B38" s="48" t="s">
        <v>50</v>
      </c>
      <c r="C38" s="52" t="s">
        <v>191</v>
      </c>
      <c r="E38" s="60">
        <f t="shared" si="0"/>
        <v>16</v>
      </c>
      <c r="F38" s="52" t="s">
        <v>191</v>
      </c>
      <c r="G38" s="64" t="s">
        <v>50</v>
      </c>
      <c r="O38" s="48" t="s">
        <v>210</v>
      </c>
      <c r="P38" s="57">
        <v>36</v>
      </c>
    </row>
    <row r="39" spans="2:16" x14ac:dyDescent="0.3">
      <c r="B39" s="48" t="s">
        <v>59</v>
      </c>
      <c r="C39" s="52" t="s">
        <v>192</v>
      </c>
      <c r="E39" s="60">
        <f t="shared" si="0"/>
        <v>17</v>
      </c>
      <c r="F39" s="52" t="s">
        <v>192</v>
      </c>
      <c r="G39" s="64" t="s">
        <v>59</v>
      </c>
      <c r="O39" s="48" t="s">
        <v>211</v>
      </c>
      <c r="P39" s="57">
        <v>37</v>
      </c>
    </row>
    <row r="40" spans="2:16" x14ac:dyDescent="0.3">
      <c r="B40" s="48" t="s">
        <v>68</v>
      </c>
      <c r="C40" s="52" t="s">
        <v>192</v>
      </c>
      <c r="E40" s="60">
        <f t="shared" si="0"/>
        <v>17</v>
      </c>
      <c r="F40" s="52" t="s">
        <v>192</v>
      </c>
      <c r="G40" s="64" t="s">
        <v>68</v>
      </c>
      <c r="O40" s="48" t="s">
        <v>212</v>
      </c>
      <c r="P40" s="57">
        <v>38</v>
      </c>
    </row>
    <row r="41" spans="2:16" x14ac:dyDescent="0.3">
      <c r="B41" s="48" t="s">
        <v>11</v>
      </c>
      <c r="C41" s="52" t="s">
        <v>192</v>
      </c>
      <c r="E41" s="60">
        <f t="shared" si="0"/>
        <v>17</v>
      </c>
      <c r="F41" s="52" t="s">
        <v>192</v>
      </c>
      <c r="G41" s="64" t="s">
        <v>11</v>
      </c>
      <c r="O41" s="48" t="s">
        <v>213</v>
      </c>
      <c r="P41" s="57">
        <v>39</v>
      </c>
    </row>
    <row r="42" spans="2:16" x14ac:dyDescent="0.3">
      <c r="B42" s="48" t="s">
        <v>182</v>
      </c>
      <c r="C42" s="52" t="s">
        <v>192</v>
      </c>
      <c r="E42" s="60">
        <f t="shared" si="0"/>
        <v>17</v>
      </c>
      <c r="F42" s="52" t="s">
        <v>192</v>
      </c>
      <c r="G42" s="64" t="s">
        <v>182</v>
      </c>
      <c r="O42" s="48" t="s">
        <v>214</v>
      </c>
      <c r="P42" s="57">
        <v>40</v>
      </c>
    </row>
    <row r="43" spans="2:16" x14ac:dyDescent="0.3">
      <c r="B43" s="48" t="s">
        <v>50</v>
      </c>
      <c r="C43" s="52" t="s">
        <v>192</v>
      </c>
      <c r="E43" s="60">
        <f t="shared" si="0"/>
        <v>17</v>
      </c>
      <c r="F43" s="52" t="s">
        <v>192</v>
      </c>
      <c r="G43" s="64" t="s">
        <v>50</v>
      </c>
      <c r="O43" s="48" t="s">
        <v>215</v>
      </c>
      <c r="P43" s="57">
        <v>41</v>
      </c>
    </row>
    <row r="44" spans="2:16" x14ac:dyDescent="0.3">
      <c r="B44" s="48" t="s">
        <v>44</v>
      </c>
      <c r="C44" s="52" t="s">
        <v>193</v>
      </c>
      <c r="E44" s="60">
        <f t="shared" si="0"/>
        <v>18</v>
      </c>
      <c r="F44" s="52" t="s">
        <v>193</v>
      </c>
      <c r="G44" s="64" t="s">
        <v>44</v>
      </c>
      <c r="O44" s="48" t="s">
        <v>216</v>
      </c>
      <c r="P44" s="57">
        <v>42</v>
      </c>
    </row>
    <row r="45" spans="2:16" x14ac:dyDescent="0.3">
      <c r="B45" s="48" t="s">
        <v>46</v>
      </c>
      <c r="C45" s="52" t="s">
        <v>193</v>
      </c>
      <c r="E45" s="60">
        <f t="shared" si="0"/>
        <v>18</v>
      </c>
      <c r="F45" s="52" t="s">
        <v>193</v>
      </c>
      <c r="G45" s="64" t="s">
        <v>46</v>
      </c>
      <c r="O45" s="48" t="s">
        <v>217</v>
      </c>
      <c r="P45" s="57">
        <v>43</v>
      </c>
    </row>
    <row r="46" spans="2:16" x14ac:dyDescent="0.3">
      <c r="B46" s="48" t="s">
        <v>82</v>
      </c>
      <c r="C46" s="52" t="s">
        <v>193</v>
      </c>
      <c r="E46" s="60">
        <f t="shared" si="0"/>
        <v>18</v>
      </c>
      <c r="F46" s="52" t="s">
        <v>193</v>
      </c>
      <c r="G46" s="64" t="s">
        <v>82</v>
      </c>
      <c r="O46" s="48" t="s">
        <v>218</v>
      </c>
      <c r="P46" s="57">
        <v>44</v>
      </c>
    </row>
    <row r="47" spans="2:16" x14ac:dyDescent="0.3">
      <c r="B47" s="48" t="s">
        <v>44</v>
      </c>
      <c r="C47" s="52" t="s">
        <v>195</v>
      </c>
      <c r="E47" s="60">
        <f t="shared" si="0"/>
        <v>19</v>
      </c>
      <c r="F47" s="52" t="s">
        <v>195</v>
      </c>
      <c r="G47" s="64" t="s">
        <v>44</v>
      </c>
      <c r="O47" s="48" t="s">
        <v>219</v>
      </c>
      <c r="P47" s="57">
        <v>45</v>
      </c>
    </row>
    <row r="48" spans="2:16" x14ac:dyDescent="0.3">
      <c r="B48" s="48" t="s">
        <v>46</v>
      </c>
      <c r="C48" s="52" t="s">
        <v>195</v>
      </c>
      <c r="E48" s="60">
        <f t="shared" si="0"/>
        <v>19</v>
      </c>
      <c r="F48" s="52" t="s">
        <v>195</v>
      </c>
      <c r="G48" s="64" t="s">
        <v>46</v>
      </c>
      <c r="O48" s="48" t="s">
        <v>220</v>
      </c>
      <c r="P48" s="57">
        <v>46</v>
      </c>
    </row>
    <row r="49" spans="2:16" x14ac:dyDescent="0.3">
      <c r="B49" s="48" t="s">
        <v>179</v>
      </c>
      <c r="C49" s="52" t="s">
        <v>196</v>
      </c>
      <c r="E49" s="60">
        <f t="shared" si="0"/>
        <v>20</v>
      </c>
      <c r="F49" s="52" t="s">
        <v>196</v>
      </c>
      <c r="G49" s="64" t="s">
        <v>179</v>
      </c>
      <c r="O49" s="48" t="s">
        <v>221</v>
      </c>
      <c r="P49" s="57">
        <v>47</v>
      </c>
    </row>
    <row r="50" spans="2:16" x14ac:dyDescent="0.3">
      <c r="B50" s="48" t="s">
        <v>44</v>
      </c>
      <c r="C50" s="52" t="s">
        <v>196</v>
      </c>
      <c r="E50" s="60">
        <f t="shared" si="0"/>
        <v>20</v>
      </c>
      <c r="F50" s="52" t="s">
        <v>196</v>
      </c>
      <c r="G50" s="64" t="s">
        <v>44</v>
      </c>
      <c r="O50" s="48" t="s">
        <v>222</v>
      </c>
      <c r="P50" s="57">
        <v>48</v>
      </c>
    </row>
    <row r="51" spans="2:16" x14ac:dyDescent="0.3">
      <c r="B51" s="48" t="s">
        <v>173</v>
      </c>
      <c r="C51" s="52" t="s">
        <v>196</v>
      </c>
      <c r="E51" s="60">
        <f t="shared" si="0"/>
        <v>20</v>
      </c>
      <c r="F51" s="52" t="s">
        <v>196</v>
      </c>
      <c r="G51" s="64" t="s">
        <v>173</v>
      </c>
      <c r="O51" s="48" t="s">
        <v>223</v>
      </c>
      <c r="P51" s="57">
        <v>49</v>
      </c>
    </row>
    <row r="52" spans="2:16" x14ac:dyDescent="0.3">
      <c r="B52" s="48" t="s">
        <v>177</v>
      </c>
      <c r="C52" s="52" t="s">
        <v>196</v>
      </c>
      <c r="E52" s="60">
        <f t="shared" si="0"/>
        <v>20</v>
      </c>
      <c r="F52" s="52" t="s">
        <v>196</v>
      </c>
      <c r="G52" s="64" t="s">
        <v>177</v>
      </c>
      <c r="O52" s="48" t="s">
        <v>224</v>
      </c>
      <c r="P52" s="57">
        <v>50</v>
      </c>
    </row>
    <row r="53" spans="2:16" x14ac:dyDescent="0.3">
      <c r="B53" s="48" t="s">
        <v>35</v>
      </c>
      <c r="C53" s="52" t="s">
        <v>197</v>
      </c>
      <c r="E53" s="60">
        <f t="shared" si="0"/>
        <v>21</v>
      </c>
      <c r="F53" s="52" t="s">
        <v>197</v>
      </c>
      <c r="G53" s="64" t="s">
        <v>35</v>
      </c>
      <c r="O53" s="48" t="s">
        <v>225</v>
      </c>
      <c r="P53" s="57">
        <v>51</v>
      </c>
    </row>
    <row r="54" spans="2:16" x14ac:dyDescent="0.3">
      <c r="B54" s="48" t="s">
        <v>180</v>
      </c>
      <c r="C54" s="52" t="s">
        <v>197</v>
      </c>
      <c r="E54" s="60">
        <f t="shared" si="0"/>
        <v>21</v>
      </c>
      <c r="F54" s="52" t="s">
        <v>197</v>
      </c>
      <c r="G54" s="64" t="s">
        <v>180</v>
      </c>
      <c r="O54" s="48" t="s">
        <v>226</v>
      </c>
      <c r="P54" s="57">
        <v>52</v>
      </c>
    </row>
    <row r="55" spans="2:16" x14ac:dyDescent="0.3">
      <c r="B55" s="48" t="s">
        <v>174</v>
      </c>
      <c r="C55" s="52" t="s">
        <v>197</v>
      </c>
      <c r="E55" s="60">
        <f t="shared" si="0"/>
        <v>21</v>
      </c>
      <c r="F55" s="52" t="s">
        <v>197</v>
      </c>
      <c r="G55" s="64" t="s">
        <v>174</v>
      </c>
      <c r="O55" s="48" t="s">
        <v>227</v>
      </c>
      <c r="P55" s="57">
        <v>53</v>
      </c>
    </row>
    <row r="56" spans="2:16" x14ac:dyDescent="0.3">
      <c r="B56" s="48" t="s">
        <v>11</v>
      </c>
      <c r="C56" s="52" t="s">
        <v>198</v>
      </c>
      <c r="E56" s="60">
        <f t="shared" si="0"/>
        <v>22</v>
      </c>
      <c r="F56" s="52" t="s">
        <v>198</v>
      </c>
      <c r="G56" s="64" t="s">
        <v>11</v>
      </c>
      <c r="O56" s="48" t="s">
        <v>228</v>
      </c>
      <c r="P56" s="57">
        <v>54</v>
      </c>
    </row>
    <row r="57" spans="2:16" x14ac:dyDescent="0.3">
      <c r="B57" s="48" t="s">
        <v>173</v>
      </c>
      <c r="C57" s="52" t="s">
        <v>198</v>
      </c>
      <c r="E57" s="60">
        <f t="shared" si="0"/>
        <v>22</v>
      </c>
      <c r="F57" s="52" t="s">
        <v>198</v>
      </c>
      <c r="G57" s="64" t="s">
        <v>173</v>
      </c>
      <c r="O57" s="48" t="s">
        <v>229</v>
      </c>
      <c r="P57" s="57">
        <v>55</v>
      </c>
    </row>
    <row r="58" spans="2:16" x14ac:dyDescent="0.3">
      <c r="B58" s="48" t="s">
        <v>177</v>
      </c>
      <c r="C58" s="52" t="s">
        <v>199</v>
      </c>
      <c r="E58" s="60">
        <f t="shared" si="0"/>
        <v>23</v>
      </c>
      <c r="F58" s="52" t="s">
        <v>199</v>
      </c>
      <c r="G58" s="64" t="s">
        <v>177</v>
      </c>
      <c r="O58" s="48" t="s">
        <v>230</v>
      </c>
      <c r="P58" s="57">
        <v>56</v>
      </c>
    </row>
    <row r="59" spans="2:16" x14ac:dyDescent="0.3">
      <c r="B59" s="48" t="s">
        <v>194</v>
      </c>
      <c r="C59" s="52" t="s">
        <v>200</v>
      </c>
      <c r="E59" s="60">
        <f t="shared" si="0"/>
        <v>24</v>
      </c>
      <c r="F59" s="52" t="s">
        <v>200</v>
      </c>
      <c r="G59" s="64" t="s">
        <v>194</v>
      </c>
      <c r="O59" s="48" t="s">
        <v>231</v>
      </c>
      <c r="P59" s="57">
        <v>57</v>
      </c>
    </row>
    <row r="60" spans="2:16" x14ac:dyDescent="0.3">
      <c r="B60" s="48" t="s">
        <v>171</v>
      </c>
      <c r="C60" s="52" t="s">
        <v>200</v>
      </c>
      <c r="E60" s="60">
        <f t="shared" si="0"/>
        <v>24</v>
      </c>
      <c r="F60" s="52" t="s">
        <v>200</v>
      </c>
      <c r="G60" s="64" t="s">
        <v>171</v>
      </c>
      <c r="O60" s="48" t="s">
        <v>232</v>
      </c>
      <c r="P60" s="57">
        <v>58</v>
      </c>
    </row>
    <row r="61" spans="2:16" x14ac:dyDescent="0.3">
      <c r="B61" s="48" t="s">
        <v>50</v>
      </c>
      <c r="C61" s="52" t="s">
        <v>201</v>
      </c>
      <c r="E61" s="60">
        <f t="shared" si="0"/>
        <v>25</v>
      </c>
      <c r="F61" s="52" t="s">
        <v>201</v>
      </c>
      <c r="G61" s="64" t="s">
        <v>50</v>
      </c>
      <c r="O61" s="48" t="s">
        <v>233</v>
      </c>
      <c r="P61" s="57">
        <v>59</v>
      </c>
    </row>
    <row r="62" spans="2:16" x14ac:dyDescent="0.3">
      <c r="B62" s="48" t="s">
        <v>37</v>
      </c>
      <c r="C62" s="52" t="s">
        <v>202</v>
      </c>
      <c r="E62" s="60">
        <f t="shared" si="0"/>
        <v>26</v>
      </c>
      <c r="F62" s="52" t="s">
        <v>202</v>
      </c>
      <c r="G62" s="64" t="s">
        <v>37</v>
      </c>
      <c r="O62" s="48" t="s">
        <v>234</v>
      </c>
      <c r="P62" s="57">
        <v>60</v>
      </c>
    </row>
    <row r="63" spans="2:16" x14ac:dyDescent="0.3">
      <c r="B63" s="48" t="s">
        <v>44</v>
      </c>
      <c r="C63" s="52" t="s">
        <v>202</v>
      </c>
      <c r="E63" s="60">
        <f t="shared" si="0"/>
        <v>26</v>
      </c>
      <c r="F63" s="52" t="s">
        <v>202</v>
      </c>
      <c r="G63" s="64" t="s">
        <v>44</v>
      </c>
      <c r="O63" s="48" t="s">
        <v>235</v>
      </c>
      <c r="P63" s="57">
        <v>61</v>
      </c>
    </row>
    <row r="64" spans="2:16" x14ac:dyDescent="0.3">
      <c r="B64" s="48" t="s">
        <v>173</v>
      </c>
      <c r="C64" s="52" t="s">
        <v>202</v>
      </c>
      <c r="E64" s="60">
        <f t="shared" si="0"/>
        <v>26</v>
      </c>
      <c r="F64" s="52" t="s">
        <v>202</v>
      </c>
      <c r="G64" s="64" t="s">
        <v>173</v>
      </c>
      <c r="O64" s="48" t="s">
        <v>236</v>
      </c>
      <c r="P64" s="57">
        <v>62</v>
      </c>
    </row>
    <row r="65" spans="2:16" x14ac:dyDescent="0.3">
      <c r="B65" s="48" t="s">
        <v>28</v>
      </c>
      <c r="C65" s="52" t="s">
        <v>202</v>
      </c>
      <c r="E65" s="60">
        <v>26</v>
      </c>
      <c r="F65" s="52" t="s">
        <v>202</v>
      </c>
      <c r="G65" s="64" t="s">
        <v>28</v>
      </c>
      <c r="O65" s="48" t="s">
        <v>237</v>
      </c>
      <c r="P65" s="57">
        <v>63</v>
      </c>
    </row>
    <row r="66" spans="2:16" x14ac:dyDescent="0.3">
      <c r="B66" s="48" t="s">
        <v>46</v>
      </c>
      <c r="C66" s="52" t="s">
        <v>203</v>
      </c>
      <c r="E66" s="60">
        <f t="shared" si="0"/>
        <v>27</v>
      </c>
      <c r="F66" s="52" t="s">
        <v>203</v>
      </c>
      <c r="G66" s="64" t="s">
        <v>46</v>
      </c>
      <c r="O66" s="48" t="s">
        <v>238</v>
      </c>
      <c r="P66" s="57">
        <v>64</v>
      </c>
    </row>
    <row r="67" spans="2:16" x14ac:dyDescent="0.3">
      <c r="B67" s="48" t="s">
        <v>179</v>
      </c>
      <c r="C67" s="52" t="s">
        <v>204</v>
      </c>
      <c r="E67" s="60">
        <f t="shared" si="0"/>
        <v>28</v>
      </c>
      <c r="F67" s="52" t="s">
        <v>204</v>
      </c>
      <c r="G67" s="64" t="s">
        <v>179</v>
      </c>
      <c r="O67" s="48" t="s">
        <v>239</v>
      </c>
      <c r="P67" s="57">
        <v>65</v>
      </c>
    </row>
    <row r="68" spans="2:16" x14ac:dyDescent="0.3">
      <c r="B68" s="48" t="s">
        <v>68</v>
      </c>
      <c r="C68" s="52" t="s">
        <v>204</v>
      </c>
      <c r="E68" s="60">
        <f t="shared" si="0"/>
        <v>28</v>
      </c>
      <c r="F68" s="52" t="s">
        <v>204</v>
      </c>
      <c r="G68" s="64" t="s">
        <v>68</v>
      </c>
      <c r="O68" s="48" t="s">
        <v>240</v>
      </c>
      <c r="P68" s="57">
        <v>66</v>
      </c>
    </row>
    <row r="69" spans="2:16" x14ac:dyDescent="0.3">
      <c r="B69" s="48" t="s">
        <v>72</v>
      </c>
      <c r="C69" s="52" t="s">
        <v>204</v>
      </c>
      <c r="E69" s="60">
        <f t="shared" si="0"/>
        <v>28</v>
      </c>
      <c r="F69" s="52" t="s">
        <v>204</v>
      </c>
      <c r="G69" s="64" t="s">
        <v>72</v>
      </c>
      <c r="O69" s="48" t="s">
        <v>241</v>
      </c>
      <c r="P69" s="57">
        <v>67</v>
      </c>
    </row>
    <row r="70" spans="2:16" x14ac:dyDescent="0.3">
      <c r="B70" s="48" t="s">
        <v>171</v>
      </c>
      <c r="C70" s="52" t="s">
        <v>204</v>
      </c>
      <c r="E70" s="60">
        <f t="shared" si="0"/>
        <v>28</v>
      </c>
      <c r="F70" s="52" t="s">
        <v>204</v>
      </c>
      <c r="G70" s="64" t="s">
        <v>171</v>
      </c>
      <c r="O70" s="48" t="s">
        <v>242</v>
      </c>
      <c r="P70" s="57">
        <v>68</v>
      </c>
    </row>
    <row r="71" spans="2:16" x14ac:dyDescent="0.3">
      <c r="B71" s="48" t="s">
        <v>59</v>
      </c>
      <c r="C71" s="52" t="s">
        <v>205</v>
      </c>
      <c r="E71" s="60">
        <f t="shared" ref="E71:E134" si="2">INDEX($P$3:$P$97,MATCH(F71,$O$3:$O$97,0))</f>
        <v>29</v>
      </c>
      <c r="F71" s="52" t="s">
        <v>205</v>
      </c>
      <c r="G71" s="64" t="s">
        <v>59</v>
      </c>
      <c r="O71" s="48" t="s">
        <v>243</v>
      </c>
      <c r="P71" s="57">
        <v>69</v>
      </c>
    </row>
    <row r="72" spans="2:16" x14ac:dyDescent="0.3">
      <c r="B72" s="48" t="s">
        <v>76</v>
      </c>
      <c r="C72" s="52" t="s">
        <v>205</v>
      </c>
      <c r="E72" s="60">
        <f t="shared" si="2"/>
        <v>29</v>
      </c>
      <c r="F72" s="52" t="s">
        <v>205</v>
      </c>
      <c r="G72" s="64" t="s">
        <v>76</v>
      </c>
      <c r="O72" s="48" t="s">
        <v>244</v>
      </c>
      <c r="P72" s="57">
        <v>70</v>
      </c>
    </row>
    <row r="73" spans="2:16" x14ac:dyDescent="0.3">
      <c r="B73" s="48" t="s">
        <v>28</v>
      </c>
      <c r="C73" s="52" t="s">
        <v>205</v>
      </c>
      <c r="E73" s="60">
        <f t="shared" si="2"/>
        <v>29</v>
      </c>
      <c r="F73" s="52" t="s">
        <v>205</v>
      </c>
      <c r="G73" s="64" t="s">
        <v>28</v>
      </c>
      <c r="O73" s="48" t="s">
        <v>245</v>
      </c>
      <c r="P73" s="57">
        <v>71</v>
      </c>
    </row>
    <row r="74" spans="2:16" x14ac:dyDescent="0.3">
      <c r="B74" s="48" t="s">
        <v>59</v>
      </c>
      <c r="C74" s="52" t="s">
        <v>206</v>
      </c>
      <c r="E74" s="60">
        <f t="shared" si="2"/>
        <v>30</v>
      </c>
      <c r="F74" s="52" t="s">
        <v>206</v>
      </c>
      <c r="G74" s="64" t="s">
        <v>59</v>
      </c>
      <c r="O74" s="48" t="s">
        <v>126</v>
      </c>
      <c r="P74" s="57">
        <v>72</v>
      </c>
    </row>
    <row r="75" spans="2:16" x14ac:dyDescent="0.3">
      <c r="B75" s="48" t="s">
        <v>37</v>
      </c>
      <c r="C75" s="52" t="s">
        <v>206</v>
      </c>
      <c r="E75" s="60">
        <f t="shared" si="2"/>
        <v>30</v>
      </c>
      <c r="F75" s="52" t="s">
        <v>206</v>
      </c>
      <c r="G75" s="64" t="s">
        <v>37</v>
      </c>
      <c r="O75" s="48" t="s">
        <v>246</v>
      </c>
      <c r="P75" s="57">
        <v>73</v>
      </c>
    </row>
    <row r="76" spans="2:16" x14ac:dyDescent="0.3">
      <c r="B76" s="48" t="s">
        <v>76</v>
      </c>
      <c r="C76" s="52" t="s">
        <v>206</v>
      </c>
      <c r="E76" s="60">
        <f t="shared" si="2"/>
        <v>30</v>
      </c>
      <c r="F76" s="52" t="s">
        <v>206</v>
      </c>
      <c r="G76" s="64" t="s">
        <v>76</v>
      </c>
      <c r="O76" s="48" t="s">
        <v>247</v>
      </c>
      <c r="P76" s="57">
        <v>74</v>
      </c>
    </row>
    <row r="77" spans="2:16" x14ac:dyDescent="0.3">
      <c r="B77" s="48" t="s">
        <v>194</v>
      </c>
      <c r="C77" s="52" t="s">
        <v>206</v>
      </c>
      <c r="E77" s="60">
        <f t="shared" si="2"/>
        <v>30</v>
      </c>
      <c r="F77" s="52" t="s">
        <v>206</v>
      </c>
      <c r="G77" s="64" t="s">
        <v>194</v>
      </c>
      <c r="O77" s="48" t="s">
        <v>248</v>
      </c>
      <c r="P77" s="57">
        <v>75</v>
      </c>
    </row>
    <row r="78" spans="2:16" x14ac:dyDescent="0.3">
      <c r="B78" s="48" t="s">
        <v>28</v>
      </c>
      <c r="C78" s="52" t="s">
        <v>206</v>
      </c>
      <c r="E78" s="60">
        <f t="shared" si="2"/>
        <v>30</v>
      </c>
      <c r="F78" s="52" t="s">
        <v>206</v>
      </c>
      <c r="G78" s="64" t="s">
        <v>28</v>
      </c>
      <c r="O78" s="48" t="s">
        <v>249</v>
      </c>
      <c r="P78" s="57">
        <v>76</v>
      </c>
    </row>
    <row r="79" spans="2:16" x14ac:dyDescent="0.3">
      <c r="B79" s="48" t="s">
        <v>78</v>
      </c>
      <c r="C79" s="52" t="s">
        <v>207</v>
      </c>
      <c r="E79" s="60">
        <f t="shared" si="2"/>
        <v>31</v>
      </c>
      <c r="F79" s="52" t="s">
        <v>207</v>
      </c>
      <c r="G79" s="64" t="s">
        <v>78</v>
      </c>
      <c r="O79" s="48" t="s">
        <v>250</v>
      </c>
      <c r="P79" s="57">
        <v>77</v>
      </c>
    </row>
    <row r="80" spans="2:16" x14ac:dyDescent="0.3">
      <c r="B80" s="48" t="s">
        <v>171</v>
      </c>
      <c r="C80" s="52" t="s">
        <v>207</v>
      </c>
      <c r="E80" s="60">
        <f t="shared" si="2"/>
        <v>31</v>
      </c>
      <c r="F80" s="52" t="s">
        <v>207</v>
      </c>
      <c r="G80" s="64" t="s">
        <v>171</v>
      </c>
      <c r="O80" s="48" t="s">
        <v>251</v>
      </c>
      <c r="P80" s="57">
        <v>78</v>
      </c>
    </row>
    <row r="81" spans="2:16" x14ac:dyDescent="0.3">
      <c r="B81" s="48" t="s">
        <v>179</v>
      </c>
      <c r="C81" s="52" t="s">
        <v>81</v>
      </c>
      <c r="E81" s="60">
        <f t="shared" si="2"/>
        <v>32</v>
      </c>
      <c r="F81" s="52" t="s">
        <v>81</v>
      </c>
      <c r="G81" s="64" t="s">
        <v>179</v>
      </c>
      <c r="O81" s="48" t="s">
        <v>252</v>
      </c>
      <c r="P81" s="57">
        <v>79</v>
      </c>
    </row>
    <row r="82" spans="2:16" x14ac:dyDescent="0.3">
      <c r="B82" s="48" t="s">
        <v>194</v>
      </c>
      <c r="C82" s="52" t="s">
        <v>81</v>
      </c>
      <c r="E82" s="60">
        <f t="shared" si="2"/>
        <v>32</v>
      </c>
      <c r="F82" s="52" t="s">
        <v>81</v>
      </c>
      <c r="G82" s="64" t="s">
        <v>194</v>
      </c>
      <c r="O82" s="48" t="s">
        <v>253</v>
      </c>
      <c r="P82" s="57">
        <v>80</v>
      </c>
    </row>
    <row r="83" spans="2:16" x14ac:dyDescent="0.3">
      <c r="B83" s="48" t="s">
        <v>180</v>
      </c>
      <c r="C83" s="52" t="s">
        <v>81</v>
      </c>
      <c r="E83" s="60">
        <f t="shared" si="2"/>
        <v>32</v>
      </c>
      <c r="F83" s="52" t="s">
        <v>81</v>
      </c>
      <c r="G83" s="64" t="s">
        <v>180</v>
      </c>
      <c r="O83" s="48" t="s">
        <v>254</v>
      </c>
      <c r="P83" s="57">
        <v>81</v>
      </c>
    </row>
    <row r="84" spans="2:16" x14ac:dyDescent="0.3">
      <c r="B84" s="48" t="s">
        <v>174</v>
      </c>
      <c r="C84" s="52" t="s">
        <v>81</v>
      </c>
      <c r="E84" s="60">
        <f t="shared" si="2"/>
        <v>32</v>
      </c>
      <c r="F84" s="52" t="s">
        <v>81</v>
      </c>
      <c r="G84" s="64" t="s">
        <v>174</v>
      </c>
      <c r="O84" s="48" t="s">
        <v>255</v>
      </c>
      <c r="P84" s="57">
        <v>82</v>
      </c>
    </row>
    <row r="85" spans="2:16" x14ac:dyDescent="0.3">
      <c r="B85" s="48" t="s">
        <v>179</v>
      </c>
      <c r="C85" s="52" t="s">
        <v>208</v>
      </c>
      <c r="E85" s="60">
        <f t="shared" si="2"/>
        <v>33</v>
      </c>
      <c r="F85" s="52" t="s">
        <v>208</v>
      </c>
      <c r="G85" s="64" t="s">
        <v>179</v>
      </c>
      <c r="O85" s="48" t="s">
        <v>256</v>
      </c>
      <c r="P85" s="57">
        <v>83</v>
      </c>
    </row>
    <row r="86" spans="2:16" x14ac:dyDescent="0.3">
      <c r="B86" s="48" t="s">
        <v>35</v>
      </c>
      <c r="C86" s="52" t="s">
        <v>208</v>
      </c>
      <c r="E86" s="60">
        <f t="shared" si="2"/>
        <v>33</v>
      </c>
      <c r="F86" s="52" t="s">
        <v>208</v>
      </c>
      <c r="G86" s="64" t="s">
        <v>35</v>
      </c>
      <c r="O86" s="48" t="s">
        <v>257</v>
      </c>
      <c r="P86" s="57">
        <v>84</v>
      </c>
    </row>
    <row r="87" spans="2:16" x14ac:dyDescent="0.3">
      <c r="B87" s="48" t="s">
        <v>40</v>
      </c>
      <c r="C87" s="52" t="s">
        <v>208</v>
      </c>
      <c r="E87" s="60">
        <f t="shared" si="2"/>
        <v>33</v>
      </c>
      <c r="F87" s="52" t="s">
        <v>208</v>
      </c>
      <c r="G87" s="64" t="s">
        <v>40</v>
      </c>
      <c r="O87" s="48" t="s">
        <v>258</v>
      </c>
      <c r="P87" s="57">
        <v>85</v>
      </c>
    </row>
    <row r="88" spans="2:16" x14ac:dyDescent="0.3">
      <c r="B88" s="48" t="s">
        <v>182</v>
      </c>
      <c r="C88" s="52" t="s">
        <v>209</v>
      </c>
      <c r="E88" s="60">
        <f t="shared" si="2"/>
        <v>34</v>
      </c>
      <c r="F88" s="52" t="s">
        <v>209</v>
      </c>
      <c r="G88" s="64" t="s">
        <v>182</v>
      </c>
      <c r="O88" s="48" t="s">
        <v>259</v>
      </c>
      <c r="P88" s="57">
        <v>86</v>
      </c>
    </row>
    <row r="89" spans="2:16" x14ac:dyDescent="0.3">
      <c r="B89" s="48" t="s">
        <v>185</v>
      </c>
      <c r="C89" s="52" t="s">
        <v>209</v>
      </c>
      <c r="E89" s="60">
        <f t="shared" si="2"/>
        <v>34</v>
      </c>
      <c r="F89" s="52" t="s">
        <v>209</v>
      </c>
      <c r="G89" s="64" t="s">
        <v>185</v>
      </c>
      <c r="O89" s="48" t="s">
        <v>260</v>
      </c>
      <c r="P89" s="57">
        <v>87</v>
      </c>
    </row>
    <row r="90" spans="2:16" x14ac:dyDescent="0.3">
      <c r="B90" s="48" t="s">
        <v>82</v>
      </c>
      <c r="C90" s="52" t="s">
        <v>87</v>
      </c>
      <c r="E90" s="60">
        <f t="shared" si="2"/>
        <v>35</v>
      </c>
      <c r="F90" s="52" t="s">
        <v>87</v>
      </c>
      <c r="G90" s="64" t="s">
        <v>82</v>
      </c>
      <c r="O90" s="48" t="s">
        <v>261</v>
      </c>
      <c r="P90" s="57">
        <v>88</v>
      </c>
    </row>
    <row r="91" spans="2:16" x14ac:dyDescent="0.3">
      <c r="B91" s="48" t="s">
        <v>28</v>
      </c>
      <c r="C91" s="52" t="s">
        <v>87</v>
      </c>
      <c r="E91" s="60">
        <f t="shared" si="2"/>
        <v>35</v>
      </c>
      <c r="F91" s="52" t="s">
        <v>87</v>
      </c>
      <c r="G91" s="64" t="s">
        <v>28</v>
      </c>
      <c r="O91" s="48" t="s">
        <v>262</v>
      </c>
      <c r="P91" s="57">
        <v>89</v>
      </c>
    </row>
    <row r="92" spans="2:16" x14ac:dyDescent="0.3">
      <c r="B92" s="48" t="s">
        <v>50</v>
      </c>
      <c r="C92" s="52" t="s">
        <v>210</v>
      </c>
      <c r="E92" s="60">
        <f t="shared" si="2"/>
        <v>36</v>
      </c>
      <c r="F92" s="52" t="s">
        <v>210</v>
      </c>
      <c r="G92" s="64" t="s">
        <v>50</v>
      </c>
      <c r="O92" s="48" t="s">
        <v>263</v>
      </c>
      <c r="P92" s="57">
        <v>90</v>
      </c>
    </row>
    <row r="93" spans="2:16" x14ac:dyDescent="0.3">
      <c r="B93" s="48" t="s">
        <v>64</v>
      </c>
      <c r="C93" s="52" t="s">
        <v>211</v>
      </c>
      <c r="E93" s="60">
        <f t="shared" si="2"/>
        <v>37</v>
      </c>
      <c r="F93" s="52" t="s">
        <v>211</v>
      </c>
      <c r="G93" s="64" t="s">
        <v>64</v>
      </c>
      <c r="O93" s="48" t="s">
        <v>264</v>
      </c>
      <c r="P93" s="57">
        <v>91</v>
      </c>
    </row>
    <row r="94" spans="2:16" x14ac:dyDescent="0.3">
      <c r="B94" s="48" t="s">
        <v>42</v>
      </c>
      <c r="C94" s="52" t="s">
        <v>211</v>
      </c>
      <c r="E94" s="60">
        <f t="shared" si="2"/>
        <v>37</v>
      </c>
      <c r="F94" s="52" t="s">
        <v>211</v>
      </c>
      <c r="G94" s="64" t="s">
        <v>42</v>
      </c>
      <c r="O94" s="48" t="s">
        <v>265</v>
      </c>
      <c r="P94" s="57">
        <v>92</v>
      </c>
    </row>
    <row r="95" spans="2:16" x14ac:dyDescent="0.3">
      <c r="B95" s="48" t="s">
        <v>74</v>
      </c>
      <c r="C95" s="52" t="s">
        <v>211</v>
      </c>
      <c r="E95" s="60">
        <f t="shared" si="2"/>
        <v>37</v>
      </c>
      <c r="F95" s="52" t="s">
        <v>211</v>
      </c>
      <c r="G95" s="64" t="s">
        <v>74</v>
      </c>
      <c r="O95" s="48" t="s">
        <v>266</v>
      </c>
      <c r="P95" s="57">
        <v>93</v>
      </c>
    </row>
    <row r="96" spans="2:16" x14ac:dyDescent="0.3">
      <c r="B96" s="48" t="s">
        <v>185</v>
      </c>
      <c r="C96" s="52" t="s">
        <v>212</v>
      </c>
      <c r="E96" s="60">
        <f t="shared" si="2"/>
        <v>38</v>
      </c>
      <c r="F96" s="52" t="s">
        <v>212</v>
      </c>
      <c r="G96" s="64" t="s">
        <v>185</v>
      </c>
      <c r="O96" s="48" t="s">
        <v>267</v>
      </c>
      <c r="P96" s="57">
        <v>94</v>
      </c>
    </row>
    <row r="97" spans="2:16" ht="14.4" thickBot="1" x14ac:dyDescent="0.35">
      <c r="B97" s="48" t="s">
        <v>179</v>
      </c>
      <c r="C97" s="52" t="s">
        <v>213</v>
      </c>
      <c r="E97" s="60">
        <f t="shared" si="2"/>
        <v>39</v>
      </c>
      <c r="F97" s="52" t="s">
        <v>213</v>
      </c>
      <c r="G97" s="64" t="s">
        <v>179</v>
      </c>
      <c r="O97" s="49" t="s">
        <v>268</v>
      </c>
      <c r="P97" s="27">
        <v>95</v>
      </c>
    </row>
    <row r="98" spans="2:16" x14ac:dyDescent="0.3">
      <c r="B98" s="48" t="s">
        <v>35</v>
      </c>
      <c r="C98" s="52" t="s">
        <v>213</v>
      </c>
      <c r="E98" s="60">
        <f t="shared" si="2"/>
        <v>39</v>
      </c>
      <c r="F98" s="52" t="s">
        <v>213</v>
      </c>
      <c r="G98" s="64" t="s">
        <v>35</v>
      </c>
    </row>
    <row r="99" spans="2:16" x14ac:dyDescent="0.3">
      <c r="B99" s="48" t="s">
        <v>42</v>
      </c>
      <c r="C99" s="52" t="s">
        <v>213</v>
      </c>
      <c r="E99" s="60">
        <f t="shared" si="2"/>
        <v>39</v>
      </c>
      <c r="F99" s="52" t="s">
        <v>213</v>
      </c>
      <c r="G99" s="64" t="s">
        <v>42</v>
      </c>
    </row>
    <row r="100" spans="2:16" x14ac:dyDescent="0.3">
      <c r="B100" s="48" t="s">
        <v>179</v>
      </c>
      <c r="C100" s="52" t="s">
        <v>214</v>
      </c>
      <c r="E100" s="60">
        <f t="shared" si="2"/>
        <v>40</v>
      </c>
      <c r="F100" s="52" t="s">
        <v>214</v>
      </c>
      <c r="G100" s="64" t="s">
        <v>179</v>
      </c>
    </row>
    <row r="101" spans="2:16" x14ac:dyDescent="0.3">
      <c r="B101" s="48" t="s">
        <v>64</v>
      </c>
      <c r="C101" s="52" t="s">
        <v>214</v>
      </c>
      <c r="E101" s="60">
        <f t="shared" si="2"/>
        <v>40</v>
      </c>
      <c r="F101" s="52" t="s">
        <v>214</v>
      </c>
      <c r="G101" s="64" t="s">
        <v>64</v>
      </c>
    </row>
    <row r="102" spans="2:16" x14ac:dyDescent="0.3">
      <c r="B102" s="48" t="s">
        <v>74</v>
      </c>
      <c r="C102" s="52" t="s">
        <v>214</v>
      </c>
      <c r="E102" s="60">
        <f t="shared" si="2"/>
        <v>40</v>
      </c>
      <c r="F102" s="52" t="s">
        <v>214</v>
      </c>
      <c r="G102" s="64" t="s">
        <v>74</v>
      </c>
    </row>
    <row r="103" spans="2:16" x14ac:dyDescent="0.3">
      <c r="B103" s="48" t="s">
        <v>171</v>
      </c>
      <c r="C103" s="52" t="s">
        <v>214</v>
      </c>
      <c r="E103" s="60">
        <f t="shared" si="2"/>
        <v>40</v>
      </c>
      <c r="F103" s="52" t="s">
        <v>214</v>
      </c>
      <c r="G103" s="64" t="s">
        <v>171</v>
      </c>
    </row>
    <row r="104" spans="2:16" x14ac:dyDescent="0.3">
      <c r="B104" s="48" t="s">
        <v>180</v>
      </c>
      <c r="C104" s="52" t="s">
        <v>214</v>
      </c>
      <c r="E104" s="60">
        <f t="shared" si="2"/>
        <v>40</v>
      </c>
      <c r="F104" s="52" t="s">
        <v>214</v>
      </c>
      <c r="G104" s="64" t="s">
        <v>180</v>
      </c>
    </row>
    <row r="105" spans="2:16" x14ac:dyDescent="0.3">
      <c r="B105" s="48" t="s">
        <v>173</v>
      </c>
      <c r="C105" s="52" t="s">
        <v>214</v>
      </c>
      <c r="E105" s="60">
        <f t="shared" si="2"/>
        <v>40</v>
      </c>
      <c r="F105" s="52" t="s">
        <v>214</v>
      </c>
      <c r="G105" s="64" t="s">
        <v>173</v>
      </c>
    </row>
    <row r="106" spans="2:16" x14ac:dyDescent="0.3">
      <c r="B106" s="48" t="s">
        <v>177</v>
      </c>
      <c r="C106" s="52" t="s">
        <v>214</v>
      </c>
      <c r="E106" s="60">
        <f t="shared" si="2"/>
        <v>40</v>
      </c>
      <c r="F106" s="52" t="s">
        <v>214</v>
      </c>
      <c r="G106" s="64" t="s">
        <v>177</v>
      </c>
    </row>
    <row r="107" spans="2:16" x14ac:dyDescent="0.3">
      <c r="B107" s="48" t="s">
        <v>182</v>
      </c>
      <c r="C107" s="52" t="s">
        <v>214</v>
      </c>
      <c r="E107" s="60">
        <f t="shared" si="2"/>
        <v>40</v>
      </c>
      <c r="F107" s="52" t="s">
        <v>214</v>
      </c>
      <c r="G107" s="64" t="s">
        <v>182</v>
      </c>
    </row>
    <row r="108" spans="2:16" x14ac:dyDescent="0.3">
      <c r="B108" s="48" t="s">
        <v>179</v>
      </c>
      <c r="C108" s="52" t="s">
        <v>215</v>
      </c>
      <c r="E108" s="60">
        <f t="shared" si="2"/>
        <v>41</v>
      </c>
      <c r="F108" s="52" t="s">
        <v>215</v>
      </c>
      <c r="G108" s="64" t="s">
        <v>179</v>
      </c>
    </row>
    <row r="109" spans="2:16" x14ac:dyDescent="0.3">
      <c r="B109" s="48" t="s">
        <v>74</v>
      </c>
      <c r="C109" s="52" t="s">
        <v>215</v>
      </c>
      <c r="E109" s="60">
        <f t="shared" si="2"/>
        <v>41</v>
      </c>
      <c r="F109" s="52" t="s">
        <v>215</v>
      </c>
      <c r="G109" s="64" t="s">
        <v>74</v>
      </c>
    </row>
    <row r="110" spans="2:16" x14ac:dyDescent="0.3">
      <c r="B110" s="48" t="s">
        <v>171</v>
      </c>
      <c r="C110" s="52" t="s">
        <v>215</v>
      </c>
      <c r="E110" s="60">
        <f t="shared" si="2"/>
        <v>41</v>
      </c>
      <c r="F110" s="52" t="s">
        <v>215</v>
      </c>
      <c r="G110" s="64" t="s">
        <v>171</v>
      </c>
    </row>
    <row r="111" spans="2:16" x14ac:dyDescent="0.3">
      <c r="B111" s="48" t="s">
        <v>173</v>
      </c>
      <c r="C111" s="52" t="s">
        <v>215</v>
      </c>
      <c r="E111" s="60">
        <f t="shared" si="2"/>
        <v>41</v>
      </c>
      <c r="F111" s="52" t="s">
        <v>215</v>
      </c>
      <c r="G111" s="64" t="s">
        <v>173</v>
      </c>
    </row>
    <row r="112" spans="2:16" x14ac:dyDescent="0.3">
      <c r="B112" s="48" t="s">
        <v>171</v>
      </c>
      <c r="C112" s="52" t="s">
        <v>216</v>
      </c>
      <c r="E112" s="60">
        <f t="shared" si="2"/>
        <v>42</v>
      </c>
      <c r="F112" s="52" t="s">
        <v>216</v>
      </c>
      <c r="G112" s="64" t="s">
        <v>171</v>
      </c>
    </row>
    <row r="113" spans="2:7" x14ac:dyDescent="0.3">
      <c r="B113" s="48" t="s">
        <v>177</v>
      </c>
      <c r="C113" s="52" t="s">
        <v>216</v>
      </c>
      <c r="E113" s="60">
        <f t="shared" si="2"/>
        <v>42</v>
      </c>
      <c r="F113" s="52" t="s">
        <v>216</v>
      </c>
      <c r="G113" s="64" t="s">
        <v>177</v>
      </c>
    </row>
    <row r="114" spans="2:7" x14ac:dyDescent="0.3">
      <c r="B114" s="48" t="s">
        <v>171</v>
      </c>
      <c r="C114" s="52" t="s">
        <v>217</v>
      </c>
      <c r="E114" s="60">
        <f t="shared" si="2"/>
        <v>43</v>
      </c>
      <c r="F114" s="52" t="s">
        <v>217</v>
      </c>
      <c r="G114" s="64" t="s">
        <v>171</v>
      </c>
    </row>
    <row r="115" spans="2:7" x14ac:dyDescent="0.3">
      <c r="B115" s="48" t="s">
        <v>44</v>
      </c>
      <c r="C115" s="52" t="s">
        <v>218</v>
      </c>
      <c r="E115" s="60">
        <f t="shared" si="2"/>
        <v>44</v>
      </c>
      <c r="F115" s="52" t="s">
        <v>218</v>
      </c>
      <c r="G115" s="64" t="s">
        <v>44</v>
      </c>
    </row>
    <row r="116" spans="2:7" x14ac:dyDescent="0.3">
      <c r="B116" s="48" t="s">
        <v>82</v>
      </c>
      <c r="C116" s="52" t="s">
        <v>218</v>
      </c>
      <c r="E116" s="60">
        <f t="shared" si="2"/>
        <v>44</v>
      </c>
      <c r="F116" s="52" t="s">
        <v>218</v>
      </c>
      <c r="G116" s="64" t="s">
        <v>82</v>
      </c>
    </row>
    <row r="117" spans="2:7" x14ac:dyDescent="0.3">
      <c r="B117" s="48" t="s">
        <v>173</v>
      </c>
      <c r="C117" s="52" t="s">
        <v>219</v>
      </c>
      <c r="E117" s="60">
        <f t="shared" si="2"/>
        <v>45</v>
      </c>
      <c r="F117" s="52" t="s">
        <v>219</v>
      </c>
      <c r="G117" s="64" t="s">
        <v>173</v>
      </c>
    </row>
    <row r="118" spans="2:7" x14ac:dyDescent="0.3">
      <c r="B118" s="48" t="s">
        <v>182</v>
      </c>
      <c r="C118" s="52" t="s">
        <v>219</v>
      </c>
      <c r="E118" s="60">
        <f t="shared" si="2"/>
        <v>45</v>
      </c>
      <c r="F118" s="52" t="s">
        <v>219</v>
      </c>
      <c r="G118" s="64" t="s">
        <v>182</v>
      </c>
    </row>
    <row r="119" spans="2:7" x14ac:dyDescent="0.3">
      <c r="B119" s="48" t="s">
        <v>182</v>
      </c>
      <c r="C119" s="52" t="s">
        <v>220</v>
      </c>
      <c r="E119" s="60">
        <f t="shared" si="2"/>
        <v>46</v>
      </c>
      <c r="F119" s="52" t="s">
        <v>220</v>
      </c>
      <c r="G119" s="64" t="s">
        <v>182</v>
      </c>
    </row>
    <row r="120" spans="2:7" x14ac:dyDescent="0.3">
      <c r="B120" s="48" t="s">
        <v>48</v>
      </c>
      <c r="C120" s="52" t="s">
        <v>221</v>
      </c>
      <c r="E120" s="60">
        <f t="shared" si="2"/>
        <v>47</v>
      </c>
      <c r="F120" s="52" t="s">
        <v>221</v>
      </c>
      <c r="G120" s="64" t="s">
        <v>48</v>
      </c>
    </row>
    <row r="121" spans="2:7" x14ac:dyDescent="0.3">
      <c r="B121" s="48" t="s">
        <v>59</v>
      </c>
      <c r="C121" s="52" t="s">
        <v>222</v>
      </c>
      <c r="E121" s="60">
        <f t="shared" si="2"/>
        <v>48</v>
      </c>
      <c r="F121" s="52" t="s">
        <v>222</v>
      </c>
      <c r="G121" s="64" t="s">
        <v>59</v>
      </c>
    </row>
    <row r="122" spans="2:7" x14ac:dyDescent="0.3">
      <c r="B122" s="48" t="s">
        <v>68</v>
      </c>
      <c r="C122" s="52" t="s">
        <v>222</v>
      </c>
      <c r="E122" s="60">
        <f t="shared" si="2"/>
        <v>48</v>
      </c>
      <c r="F122" s="52" t="s">
        <v>222</v>
      </c>
      <c r="G122" s="64" t="s">
        <v>68</v>
      </c>
    </row>
    <row r="123" spans="2:7" x14ac:dyDescent="0.3">
      <c r="B123" s="48" t="s">
        <v>194</v>
      </c>
      <c r="C123" s="52" t="s">
        <v>222</v>
      </c>
      <c r="E123" s="60">
        <f t="shared" si="2"/>
        <v>48</v>
      </c>
      <c r="F123" s="52" t="s">
        <v>222</v>
      </c>
      <c r="G123" s="64" t="s">
        <v>194</v>
      </c>
    </row>
    <row r="124" spans="2:7" x14ac:dyDescent="0.3">
      <c r="B124" s="48" t="s">
        <v>11</v>
      </c>
      <c r="C124" s="52" t="s">
        <v>222</v>
      </c>
      <c r="E124" s="60">
        <f t="shared" si="2"/>
        <v>48</v>
      </c>
      <c r="F124" s="52" t="s">
        <v>222</v>
      </c>
      <c r="G124" s="64" t="s">
        <v>11</v>
      </c>
    </row>
    <row r="125" spans="2:7" x14ac:dyDescent="0.3">
      <c r="B125" s="48" t="s">
        <v>182</v>
      </c>
      <c r="C125" s="52" t="s">
        <v>222</v>
      </c>
      <c r="E125" s="60">
        <f t="shared" si="2"/>
        <v>48</v>
      </c>
      <c r="F125" s="52" t="s">
        <v>222</v>
      </c>
      <c r="G125" s="64" t="s">
        <v>182</v>
      </c>
    </row>
    <row r="126" spans="2:7" x14ac:dyDescent="0.3">
      <c r="B126" s="48" t="s">
        <v>50</v>
      </c>
      <c r="C126" s="52" t="s">
        <v>222</v>
      </c>
      <c r="E126" s="60">
        <f t="shared" si="2"/>
        <v>48</v>
      </c>
      <c r="F126" s="52" t="s">
        <v>222</v>
      </c>
      <c r="G126" s="64" t="s">
        <v>50</v>
      </c>
    </row>
    <row r="127" spans="2:7" x14ac:dyDescent="0.3">
      <c r="B127" s="48" t="s">
        <v>185</v>
      </c>
      <c r="C127" s="52" t="s">
        <v>223</v>
      </c>
      <c r="E127" s="60">
        <f t="shared" si="2"/>
        <v>49</v>
      </c>
      <c r="F127" s="52" t="s">
        <v>223</v>
      </c>
      <c r="G127" s="64" t="s">
        <v>185</v>
      </c>
    </row>
    <row r="128" spans="2:7" x14ac:dyDescent="0.3">
      <c r="B128" s="48" t="s">
        <v>37</v>
      </c>
      <c r="C128" s="52" t="s">
        <v>224</v>
      </c>
      <c r="E128" s="60">
        <f t="shared" si="2"/>
        <v>50</v>
      </c>
      <c r="F128" s="52" t="s">
        <v>224</v>
      </c>
      <c r="G128" s="64" t="s">
        <v>37</v>
      </c>
    </row>
    <row r="129" spans="2:7" x14ac:dyDescent="0.3">
      <c r="B129" s="48" t="s">
        <v>44</v>
      </c>
      <c r="C129" s="52" t="s">
        <v>224</v>
      </c>
      <c r="E129" s="60">
        <f t="shared" si="2"/>
        <v>50</v>
      </c>
      <c r="F129" s="52" t="s">
        <v>224</v>
      </c>
      <c r="G129" s="64" t="s">
        <v>44</v>
      </c>
    </row>
    <row r="130" spans="2:7" x14ac:dyDescent="0.3">
      <c r="B130" s="48" t="s">
        <v>173</v>
      </c>
      <c r="C130" s="52" t="s">
        <v>224</v>
      </c>
      <c r="E130" s="60">
        <f t="shared" si="2"/>
        <v>50</v>
      </c>
      <c r="F130" s="52" t="s">
        <v>224</v>
      </c>
      <c r="G130" s="64" t="s">
        <v>173</v>
      </c>
    </row>
    <row r="131" spans="2:7" x14ac:dyDescent="0.3">
      <c r="B131" s="48" t="s">
        <v>171</v>
      </c>
      <c r="C131" s="52" t="s">
        <v>225</v>
      </c>
      <c r="E131" s="60">
        <f t="shared" si="2"/>
        <v>51</v>
      </c>
      <c r="F131" s="52" t="s">
        <v>225</v>
      </c>
      <c r="G131" s="64" t="s">
        <v>171</v>
      </c>
    </row>
    <row r="132" spans="2:7" x14ac:dyDescent="0.3">
      <c r="B132" s="48" t="s">
        <v>180</v>
      </c>
      <c r="C132" s="52" t="s">
        <v>225</v>
      </c>
      <c r="E132" s="60">
        <f t="shared" si="2"/>
        <v>51</v>
      </c>
      <c r="F132" s="52" t="s">
        <v>225</v>
      </c>
      <c r="G132" s="64" t="s">
        <v>180</v>
      </c>
    </row>
    <row r="133" spans="2:7" x14ac:dyDescent="0.3">
      <c r="B133" s="48" t="s">
        <v>173</v>
      </c>
      <c r="C133" s="52" t="s">
        <v>225</v>
      </c>
      <c r="E133" s="60">
        <f t="shared" si="2"/>
        <v>51</v>
      </c>
      <c r="F133" s="52" t="s">
        <v>225</v>
      </c>
      <c r="G133" s="64" t="s">
        <v>173</v>
      </c>
    </row>
    <row r="134" spans="2:7" x14ac:dyDescent="0.3">
      <c r="B134" s="48" t="s">
        <v>177</v>
      </c>
      <c r="C134" s="52" t="s">
        <v>225</v>
      </c>
      <c r="E134" s="60">
        <f t="shared" si="2"/>
        <v>51</v>
      </c>
      <c r="F134" s="52" t="s">
        <v>225</v>
      </c>
      <c r="G134" s="64" t="s">
        <v>177</v>
      </c>
    </row>
    <row r="135" spans="2:7" x14ac:dyDescent="0.3">
      <c r="B135" s="48" t="s">
        <v>59</v>
      </c>
      <c r="C135" s="52" t="s">
        <v>226</v>
      </c>
      <c r="E135" s="60">
        <f t="shared" ref="E135:E202" si="3">INDEX($P$3:$P$97,MATCH(F135,$O$3:$O$97,0))</f>
        <v>52</v>
      </c>
      <c r="F135" s="52" t="s">
        <v>226</v>
      </c>
      <c r="G135" s="64" t="s">
        <v>59</v>
      </c>
    </row>
    <row r="136" spans="2:7" x14ac:dyDescent="0.3">
      <c r="B136" s="48" t="s">
        <v>76</v>
      </c>
      <c r="C136" s="52" t="s">
        <v>226</v>
      </c>
      <c r="E136" s="60">
        <f t="shared" si="3"/>
        <v>52</v>
      </c>
      <c r="F136" s="52" t="s">
        <v>226</v>
      </c>
      <c r="G136" s="64" t="s">
        <v>76</v>
      </c>
    </row>
    <row r="137" spans="2:7" x14ac:dyDescent="0.3">
      <c r="B137" s="48" t="s">
        <v>46</v>
      </c>
      <c r="C137" s="52" t="s">
        <v>226</v>
      </c>
      <c r="E137" s="60">
        <f t="shared" si="3"/>
        <v>52</v>
      </c>
      <c r="F137" s="52" t="s">
        <v>226</v>
      </c>
      <c r="G137" s="64" t="s">
        <v>46</v>
      </c>
    </row>
    <row r="138" spans="2:7" x14ac:dyDescent="0.3">
      <c r="B138" s="48" t="s">
        <v>179</v>
      </c>
      <c r="C138" s="52" t="s">
        <v>227</v>
      </c>
      <c r="E138" s="60">
        <f t="shared" si="3"/>
        <v>53</v>
      </c>
      <c r="F138" s="52" t="s">
        <v>227</v>
      </c>
      <c r="G138" s="64" t="s">
        <v>179</v>
      </c>
    </row>
    <row r="139" spans="2:7" x14ac:dyDescent="0.3">
      <c r="B139" s="48" t="s">
        <v>174</v>
      </c>
      <c r="C139" s="52" t="s">
        <v>227</v>
      </c>
      <c r="E139" s="60">
        <f t="shared" si="3"/>
        <v>53</v>
      </c>
      <c r="F139" s="52" t="s">
        <v>227</v>
      </c>
      <c r="G139" s="64" t="s">
        <v>174</v>
      </c>
    </row>
    <row r="140" spans="2:7" x14ac:dyDescent="0.3">
      <c r="B140" s="48" t="s">
        <v>50</v>
      </c>
      <c r="C140" s="52" t="s">
        <v>228</v>
      </c>
      <c r="E140" s="60">
        <f t="shared" si="3"/>
        <v>54</v>
      </c>
      <c r="F140" s="52" t="s">
        <v>228</v>
      </c>
      <c r="G140" s="64" t="s">
        <v>50</v>
      </c>
    </row>
    <row r="141" spans="2:7" x14ac:dyDescent="0.3">
      <c r="B141" s="48" t="s">
        <v>182</v>
      </c>
      <c r="C141" s="52" t="s">
        <v>229</v>
      </c>
      <c r="E141" s="60">
        <f t="shared" si="3"/>
        <v>55</v>
      </c>
      <c r="F141" s="52" t="s">
        <v>229</v>
      </c>
      <c r="G141" s="64" t="s">
        <v>182</v>
      </c>
    </row>
    <row r="142" spans="2:7" x14ac:dyDescent="0.3">
      <c r="B142" s="48" t="s">
        <v>40</v>
      </c>
      <c r="C142" s="52" t="s">
        <v>230</v>
      </c>
      <c r="E142" s="60">
        <f t="shared" si="3"/>
        <v>56</v>
      </c>
      <c r="F142" s="52" t="s">
        <v>230</v>
      </c>
      <c r="G142" s="64" t="s">
        <v>40</v>
      </c>
    </row>
    <row r="143" spans="2:7" x14ac:dyDescent="0.3">
      <c r="B143" s="48" t="s">
        <v>84</v>
      </c>
      <c r="C143" s="52" t="s">
        <v>231</v>
      </c>
      <c r="E143" s="60">
        <f t="shared" si="3"/>
        <v>57</v>
      </c>
      <c r="F143" s="52" t="s">
        <v>231</v>
      </c>
      <c r="G143" s="64" t="s">
        <v>84</v>
      </c>
    </row>
    <row r="144" spans="2:7" x14ac:dyDescent="0.3">
      <c r="B144" s="48" t="s">
        <v>84</v>
      </c>
      <c r="C144" s="52" t="s">
        <v>269</v>
      </c>
      <c r="E144" s="60">
        <f t="shared" si="3"/>
        <v>58</v>
      </c>
      <c r="F144" s="52" t="s">
        <v>232</v>
      </c>
      <c r="G144" s="64" t="s">
        <v>84</v>
      </c>
    </row>
    <row r="145" spans="2:7" x14ac:dyDescent="0.3">
      <c r="B145" s="48" t="s">
        <v>74</v>
      </c>
      <c r="C145" s="52" t="s">
        <v>233</v>
      </c>
      <c r="E145" s="60">
        <f t="shared" si="3"/>
        <v>59</v>
      </c>
      <c r="F145" s="52" t="s">
        <v>233</v>
      </c>
      <c r="G145" s="64" t="s">
        <v>74</v>
      </c>
    </row>
    <row r="146" spans="2:7" x14ac:dyDescent="0.3">
      <c r="B146" s="48" t="s">
        <v>194</v>
      </c>
      <c r="C146" s="52" t="s">
        <v>233</v>
      </c>
      <c r="E146" s="60">
        <f t="shared" si="3"/>
        <v>59</v>
      </c>
      <c r="F146" s="52" t="s">
        <v>233</v>
      </c>
      <c r="G146" s="64" t="s">
        <v>194</v>
      </c>
    </row>
    <row r="147" spans="2:7" x14ac:dyDescent="0.3">
      <c r="B147" s="48" t="s">
        <v>61</v>
      </c>
      <c r="C147" s="52" t="s">
        <v>234</v>
      </c>
      <c r="E147" s="60">
        <f t="shared" si="3"/>
        <v>60</v>
      </c>
      <c r="F147" s="52" t="s">
        <v>234</v>
      </c>
      <c r="G147" s="64" t="s">
        <v>61</v>
      </c>
    </row>
    <row r="148" spans="2:7" x14ac:dyDescent="0.3">
      <c r="B148" s="48" t="s">
        <v>35</v>
      </c>
      <c r="C148" s="52" t="s">
        <v>235</v>
      </c>
      <c r="E148" s="60">
        <f t="shared" si="3"/>
        <v>61</v>
      </c>
      <c r="F148" s="52" t="s">
        <v>235</v>
      </c>
      <c r="G148" s="64" t="s">
        <v>35</v>
      </c>
    </row>
    <row r="149" spans="2:7" x14ac:dyDescent="0.3">
      <c r="B149" s="48" t="s">
        <v>82</v>
      </c>
      <c r="C149" s="52" t="s">
        <v>235</v>
      </c>
      <c r="E149" s="60">
        <f t="shared" si="3"/>
        <v>61</v>
      </c>
      <c r="F149" s="52" t="s">
        <v>235</v>
      </c>
      <c r="G149" s="64" t="s">
        <v>82</v>
      </c>
    </row>
    <row r="150" spans="2:7" x14ac:dyDescent="0.3">
      <c r="B150" s="48" t="s">
        <v>171</v>
      </c>
      <c r="C150" s="52" t="s">
        <v>235</v>
      </c>
      <c r="E150" s="60">
        <f t="shared" si="3"/>
        <v>61</v>
      </c>
      <c r="F150" s="52" t="s">
        <v>235</v>
      </c>
      <c r="G150" s="64" t="s">
        <v>171</v>
      </c>
    </row>
    <row r="151" spans="2:7" x14ac:dyDescent="0.3">
      <c r="B151" s="48" t="s">
        <v>180</v>
      </c>
      <c r="C151" s="52" t="s">
        <v>235</v>
      </c>
      <c r="E151" s="60">
        <f t="shared" si="3"/>
        <v>61</v>
      </c>
      <c r="F151" s="52" t="s">
        <v>235</v>
      </c>
      <c r="G151" s="64" t="s">
        <v>180</v>
      </c>
    </row>
    <row r="152" spans="2:7" x14ac:dyDescent="0.3">
      <c r="B152" s="48" t="s">
        <v>35</v>
      </c>
      <c r="C152" s="52" t="s">
        <v>236</v>
      </c>
      <c r="E152" s="60">
        <f t="shared" si="3"/>
        <v>62</v>
      </c>
      <c r="F152" s="52" t="s">
        <v>236</v>
      </c>
      <c r="G152" s="64" t="s">
        <v>35</v>
      </c>
    </row>
    <row r="153" spans="2:7" x14ac:dyDescent="0.3">
      <c r="B153" s="48" t="s">
        <v>42</v>
      </c>
      <c r="C153" s="52" t="s">
        <v>236</v>
      </c>
      <c r="E153" s="60">
        <f t="shared" si="3"/>
        <v>62</v>
      </c>
      <c r="F153" s="52" t="s">
        <v>236</v>
      </c>
      <c r="G153" s="64" t="s">
        <v>42</v>
      </c>
    </row>
    <row r="154" spans="2:7" x14ac:dyDescent="0.3">
      <c r="B154" s="48" t="s">
        <v>171</v>
      </c>
      <c r="C154" s="52" t="s">
        <v>236</v>
      </c>
      <c r="E154" s="60">
        <f t="shared" si="3"/>
        <v>62</v>
      </c>
      <c r="F154" s="52" t="s">
        <v>236</v>
      </c>
      <c r="G154" s="64" t="s">
        <v>171</v>
      </c>
    </row>
    <row r="155" spans="2:7" x14ac:dyDescent="0.3">
      <c r="B155" s="48" t="s">
        <v>40</v>
      </c>
      <c r="C155" s="52" t="s">
        <v>237</v>
      </c>
      <c r="E155" s="60">
        <f t="shared" si="3"/>
        <v>63</v>
      </c>
      <c r="F155" s="52" t="s">
        <v>237</v>
      </c>
      <c r="G155" s="64" t="s">
        <v>40</v>
      </c>
    </row>
    <row r="156" spans="2:7" x14ac:dyDescent="0.3">
      <c r="B156" s="48" t="s">
        <v>40</v>
      </c>
      <c r="C156" s="52" t="s">
        <v>238</v>
      </c>
      <c r="E156" s="60">
        <f t="shared" si="3"/>
        <v>64</v>
      </c>
      <c r="F156" s="52" t="s">
        <v>238</v>
      </c>
      <c r="G156" s="64" t="s">
        <v>40</v>
      </c>
    </row>
    <row r="157" spans="2:7" x14ac:dyDescent="0.3">
      <c r="B157" s="48" t="s">
        <v>177</v>
      </c>
      <c r="C157" s="52" t="s">
        <v>239</v>
      </c>
      <c r="E157" s="60">
        <f t="shared" si="3"/>
        <v>65</v>
      </c>
      <c r="F157" s="52" t="s">
        <v>239</v>
      </c>
      <c r="G157" s="64" t="s">
        <v>177</v>
      </c>
    </row>
    <row r="158" spans="2:7" x14ac:dyDescent="0.3">
      <c r="B158" s="48" t="s">
        <v>59</v>
      </c>
      <c r="C158" s="52" t="s">
        <v>240</v>
      </c>
      <c r="E158" s="60">
        <f t="shared" si="3"/>
        <v>66</v>
      </c>
      <c r="F158" s="52" t="s">
        <v>240</v>
      </c>
      <c r="G158" s="64" t="s">
        <v>59</v>
      </c>
    </row>
    <row r="159" spans="2:7" x14ac:dyDescent="0.3">
      <c r="B159" s="48" t="s">
        <v>194</v>
      </c>
      <c r="C159" s="52" t="s">
        <v>240</v>
      </c>
      <c r="E159" s="60">
        <f t="shared" si="3"/>
        <v>66</v>
      </c>
      <c r="F159" s="52" t="s">
        <v>240</v>
      </c>
      <c r="G159" s="64" t="s">
        <v>194</v>
      </c>
    </row>
    <row r="160" spans="2:7" x14ac:dyDescent="0.3">
      <c r="B160" s="48" t="s">
        <v>68</v>
      </c>
      <c r="C160" s="52" t="s">
        <v>241</v>
      </c>
      <c r="E160" s="60">
        <f t="shared" si="3"/>
        <v>67</v>
      </c>
      <c r="F160" s="52" t="s">
        <v>241</v>
      </c>
      <c r="G160" s="64" t="s">
        <v>68</v>
      </c>
    </row>
    <row r="161" spans="2:7" x14ac:dyDescent="0.3">
      <c r="B161" s="48" t="s">
        <v>70</v>
      </c>
      <c r="C161" s="52" t="s">
        <v>241</v>
      </c>
      <c r="E161" s="60">
        <f t="shared" si="3"/>
        <v>67</v>
      </c>
      <c r="F161" s="52" t="s">
        <v>241</v>
      </c>
      <c r="G161" s="64" t="s">
        <v>70</v>
      </c>
    </row>
    <row r="162" spans="2:7" x14ac:dyDescent="0.3">
      <c r="B162" s="48" t="s">
        <v>44</v>
      </c>
      <c r="C162" s="52" t="s">
        <v>241</v>
      </c>
      <c r="E162" s="60">
        <f t="shared" si="3"/>
        <v>67</v>
      </c>
      <c r="F162" s="52" t="s">
        <v>241</v>
      </c>
      <c r="G162" s="64" t="s">
        <v>44</v>
      </c>
    </row>
    <row r="163" spans="2:7" x14ac:dyDescent="0.3">
      <c r="B163" s="48" t="s">
        <v>82</v>
      </c>
      <c r="C163" s="52" t="s">
        <v>241</v>
      </c>
      <c r="E163" s="60">
        <f t="shared" si="3"/>
        <v>67</v>
      </c>
      <c r="F163" s="52" t="s">
        <v>241</v>
      </c>
      <c r="G163" s="64" t="s">
        <v>82</v>
      </c>
    </row>
    <row r="164" spans="2:7" x14ac:dyDescent="0.3">
      <c r="B164" s="48" t="s">
        <v>171</v>
      </c>
      <c r="C164" s="52" t="s">
        <v>241</v>
      </c>
      <c r="E164" s="60">
        <f t="shared" si="3"/>
        <v>67</v>
      </c>
      <c r="F164" s="52" t="s">
        <v>241</v>
      </c>
      <c r="G164" s="64" t="s">
        <v>171</v>
      </c>
    </row>
    <row r="165" spans="2:7" x14ac:dyDescent="0.3">
      <c r="B165" s="48" t="s">
        <v>180</v>
      </c>
      <c r="C165" s="52" t="s">
        <v>241</v>
      </c>
      <c r="E165" s="60">
        <f t="shared" si="3"/>
        <v>67</v>
      </c>
      <c r="F165" s="52" t="s">
        <v>241</v>
      </c>
      <c r="G165" s="64" t="s">
        <v>180</v>
      </c>
    </row>
    <row r="166" spans="2:7" x14ac:dyDescent="0.3">
      <c r="B166" s="48" t="s">
        <v>174</v>
      </c>
      <c r="C166" s="52" t="s">
        <v>242</v>
      </c>
      <c r="E166" s="60">
        <f t="shared" si="3"/>
        <v>68</v>
      </c>
      <c r="F166" s="52" t="s">
        <v>242</v>
      </c>
      <c r="G166" s="64" t="s">
        <v>174</v>
      </c>
    </row>
    <row r="167" spans="2:7" x14ac:dyDescent="0.3">
      <c r="B167" s="48" t="s">
        <v>194</v>
      </c>
      <c r="C167" s="52" t="s">
        <v>243</v>
      </c>
      <c r="E167" s="60">
        <f t="shared" si="3"/>
        <v>69</v>
      </c>
      <c r="F167" s="52" t="s">
        <v>243</v>
      </c>
      <c r="G167" s="64" t="s">
        <v>194</v>
      </c>
    </row>
    <row r="168" spans="2:7" x14ac:dyDescent="0.3">
      <c r="B168" s="48" t="s">
        <v>37</v>
      </c>
      <c r="C168" s="52" t="s">
        <v>244</v>
      </c>
      <c r="E168" s="60">
        <f t="shared" si="3"/>
        <v>70</v>
      </c>
      <c r="F168" s="52" t="s">
        <v>244</v>
      </c>
      <c r="G168" s="64" t="s">
        <v>37</v>
      </c>
    </row>
    <row r="169" spans="2:7" x14ac:dyDescent="0.3">
      <c r="B169" s="48" t="s">
        <v>44</v>
      </c>
      <c r="C169" s="52" t="s">
        <v>244</v>
      </c>
      <c r="E169" s="60">
        <f t="shared" si="3"/>
        <v>70</v>
      </c>
      <c r="F169" s="52" t="s">
        <v>244</v>
      </c>
      <c r="G169" s="64" t="s">
        <v>44</v>
      </c>
    </row>
    <row r="170" spans="2:7" x14ac:dyDescent="0.3">
      <c r="B170" s="48" t="s">
        <v>28</v>
      </c>
      <c r="C170" s="52" t="s">
        <v>244</v>
      </c>
      <c r="E170" s="60">
        <f t="shared" si="3"/>
        <v>70</v>
      </c>
      <c r="F170" s="52" t="s">
        <v>244</v>
      </c>
      <c r="G170" s="64" t="s">
        <v>28</v>
      </c>
    </row>
    <row r="171" spans="2:7" x14ac:dyDescent="0.3">
      <c r="B171" s="48" t="s">
        <v>37</v>
      </c>
      <c r="C171" s="52" t="s">
        <v>245</v>
      </c>
      <c r="E171" s="60">
        <f t="shared" si="3"/>
        <v>71</v>
      </c>
      <c r="F171" s="52" t="s">
        <v>245</v>
      </c>
      <c r="G171" s="64" t="s">
        <v>37</v>
      </c>
    </row>
    <row r="172" spans="2:7" x14ac:dyDescent="0.3">
      <c r="B172" s="48" t="s">
        <v>44</v>
      </c>
      <c r="C172" s="52" t="s">
        <v>245</v>
      </c>
      <c r="E172" s="60">
        <f t="shared" si="3"/>
        <v>71</v>
      </c>
      <c r="F172" s="52" t="s">
        <v>245</v>
      </c>
      <c r="G172" s="64" t="s">
        <v>44</v>
      </c>
    </row>
    <row r="173" spans="2:7" x14ac:dyDescent="0.3">
      <c r="B173" s="48" t="s">
        <v>28</v>
      </c>
      <c r="C173" s="52" t="s">
        <v>245</v>
      </c>
      <c r="E173" s="60">
        <f t="shared" si="3"/>
        <v>71</v>
      </c>
      <c r="F173" s="52" t="s">
        <v>245</v>
      </c>
      <c r="G173" s="64" t="s">
        <v>28</v>
      </c>
    </row>
    <row r="174" spans="2:7" x14ac:dyDescent="0.3">
      <c r="B174" s="48" t="s">
        <v>42</v>
      </c>
      <c r="C174" s="52" t="s">
        <v>126</v>
      </c>
      <c r="E174" s="60">
        <f t="shared" si="3"/>
        <v>72</v>
      </c>
      <c r="F174" s="52" t="s">
        <v>126</v>
      </c>
      <c r="G174" s="64" t="s">
        <v>42</v>
      </c>
    </row>
    <row r="175" spans="2:7" x14ac:dyDescent="0.3">
      <c r="B175" s="48" t="s">
        <v>180</v>
      </c>
      <c r="C175" s="52" t="s">
        <v>126</v>
      </c>
      <c r="E175" s="60">
        <f t="shared" si="3"/>
        <v>72</v>
      </c>
      <c r="F175" s="52" t="s">
        <v>126</v>
      </c>
      <c r="G175" s="64" t="s">
        <v>180</v>
      </c>
    </row>
    <row r="176" spans="2:7" x14ac:dyDescent="0.3">
      <c r="B176" s="48" t="s">
        <v>50</v>
      </c>
      <c r="C176" s="52" t="s">
        <v>246</v>
      </c>
      <c r="E176" s="60">
        <f t="shared" si="3"/>
        <v>73</v>
      </c>
      <c r="F176" s="52" t="s">
        <v>246</v>
      </c>
      <c r="G176" s="64" t="s">
        <v>50</v>
      </c>
    </row>
    <row r="177" spans="2:7" x14ac:dyDescent="0.3">
      <c r="B177" s="48" t="s">
        <v>35</v>
      </c>
      <c r="C177" s="52" t="s">
        <v>247</v>
      </c>
      <c r="E177" s="60">
        <f t="shared" si="3"/>
        <v>74</v>
      </c>
      <c r="F177" s="52" t="s">
        <v>247</v>
      </c>
      <c r="G177" s="64" t="s">
        <v>35</v>
      </c>
    </row>
    <row r="178" spans="2:7" x14ac:dyDescent="0.3">
      <c r="B178" s="48" t="s">
        <v>194</v>
      </c>
      <c r="C178" s="52" t="s">
        <v>247</v>
      </c>
      <c r="E178" s="60">
        <f t="shared" si="3"/>
        <v>74</v>
      </c>
      <c r="F178" s="52" t="s">
        <v>247</v>
      </c>
      <c r="G178" s="64" t="s">
        <v>194</v>
      </c>
    </row>
    <row r="179" spans="2:7" x14ac:dyDescent="0.3">
      <c r="B179" s="48" t="s">
        <v>11</v>
      </c>
      <c r="C179" s="52" t="s">
        <v>247</v>
      </c>
      <c r="E179" s="60">
        <f t="shared" si="3"/>
        <v>74</v>
      </c>
      <c r="F179" s="52" t="s">
        <v>247</v>
      </c>
      <c r="G179" s="64" t="s">
        <v>11</v>
      </c>
    </row>
    <row r="180" spans="2:7" x14ac:dyDescent="0.3">
      <c r="B180" s="48" t="s">
        <v>28</v>
      </c>
      <c r="C180" s="52" t="s">
        <v>248</v>
      </c>
      <c r="E180" s="60">
        <f t="shared" si="3"/>
        <v>75</v>
      </c>
      <c r="F180" s="52" t="s">
        <v>248</v>
      </c>
      <c r="G180" s="64" t="s">
        <v>28</v>
      </c>
    </row>
    <row r="181" spans="2:7" x14ac:dyDescent="0.3">
      <c r="B181" s="48" t="s">
        <v>82</v>
      </c>
      <c r="C181" s="52" t="s">
        <v>249</v>
      </c>
      <c r="E181" s="60">
        <f t="shared" si="3"/>
        <v>76</v>
      </c>
      <c r="F181" s="52" t="s">
        <v>249</v>
      </c>
      <c r="G181" s="64" t="s">
        <v>82</v>
      </c>
    </row>
    <row r="182" spans="2:7" x14ac:dyDescent="0.3">
      <c r="B182" s="48" t="s">
        <v>185</v>
      </c>
      <c r="C182" s="52" t="s">
        <v>249</v>
      </c>
      <c r="E182" s="60">
        <f t="shared" si="3"/>
        <v>76</v>
      </c>
      <c r="F182" s="52" t="s">
        <v>249</v>
      </c>
      <c r="G182" s="64" t="s">
        <v>185</v>
      </c>
    </row>
    <row r="183" spans="2:7" x14ac:dyDescent="0.3">
      <c r="B183" s="48" t="s">
        <v>42</v>
      </c>
      <c r="C183" s="52" t="s">
        <v>250</v>
      </c>
      <c r="E183" s="60">
        <f t="shared" si="3"/>
        <v>77</v>
      </c>
      <c r="F183" s="52" t="s">
        <v>250</v>
      </c>
      <c r="G183" s="64" t="s">
        <v>42</v>
      </c>
    </row>
    <row r="184" spans="2:7" x14ac:dyDescent="0.3">
      <c r="B184" s="48" t="s">
        <v>80</v>
      </c>
      <c r="C184" s="52" t="s">
        <v>250</v>
      </c>
      <c r="E184" s="60">
        <f t="shared" si="3"/>
        <v>77</v>
      </c>
      <c r="F184" s="52" t="s">
        <v>250</v>
      </c>
      <c r="G184" s="64" t="s">
        <v>80</v>
      </c>
    </row>
    <row r="185" spans="2:7" x14ac:dyDescent="0.3">
      <c r="B185" s="48" t="s">
        <v>185</v>
      </c>
      <c r="C185" s="52" t="s">
        <v>251</v>
      </c>
      <c r="E185" s="60">
        <f t="shared" si="3"/>
        <v>78</v>
      </c>
      <c r="F185" s="52" t="s">
        <v>251</v>
      </c>
      <c r="G185" s="64" t="s">
        <v>185</v>
      </c>
    </row>
    <row r="186" spans="2:7" x14ac:dyDescent="0.3">
      <c r="B186" s="48" t="s">
        <v>84</v>
      </c>
      <c r="C186" s="52" t="s">
        <v>252</v>
      </c>
      <c r="E186" s="60">
        <f t="shared" si="3"/>
        <v>79</v>
      </c>
      <c r="F186" s="52" t="s">
        <v>252</v>
      </c>
      <c r="G186" s="64" t="s">
        <v>84</v>
      </c>
    </row>
    <row r="187" spans="2:7" x14ac:dyDescent="0.3">
      <c r="B187" s="48" t="s">
        <v>35</v>
      </c>
      <c r="C187" s="52" t="s">
        <v>253</v>
      </c>
      <c r="E187" s="60">
        <f t="shared" si="3"/>
        <v>80</v>
      </c>
      <c r="F187" s="52" t="s">
        <v>253</v>
      </c>
      <c r="G187" s="64" t="s">
        <v>35</v>
      </c>
    </row>
    <row r="188" spans="2:7" x14ac:dyDescent="0.3">
      <c r="B188" s="48" t="s">
        <v>28</v>
      </c>
      <c r="C188" s="52" t="s">
        <v>253</v>
      </c>
      <c r="E188" s="60">
        <f t="shared" si="3"/>
        <v>80</v>
      </c>
      <c r="F188" s="52" t="s">
        <v>253</v>
      </c>
      <c r="G188" s="64" t="s">
        <v>28</v>
      </c>
    </row>
    <row r="189" spans="2:7" x14ac:dyDescent="0.3">
      <c r="B189" s="48" t="s">
        <v>171</v>
      </c>
      <c r="C189" s="52" t="s">
        <v>254</v>
      </c>
      <c r="E189" s="60">
        <f t="shared" si="3"/>
        <v>81</v>
      </c>
      <c r="F189" s="52" t="s">
        <v>254</v>
      </c>
      <c r="G189" s="64" t="s">
        <v>171</v>
      </c>
    </row>
    <row r="190" spans="2:7" x14ac:dyDescent="0.3">
      <c r="B190" s="48" t="s">
        <v>59</v>
      </c>
      <c r="C190" s="52" t="s">
        <v>255</v>
      </c>
      <c r="E190" s="60">
        <f t="shared" si="3"/>
        <v>82</v>
      </c>
      <c r="F190" s="52" t="s">
        <v>255</v>
      </c>
      <c r="G190" s="64" t="s">
        <v>59</v>
      </c>
    </row>
    <row r="191" spans="2:7" x14ac:dyDescent="0.3">
      <c r="B191" s="48" t="s">
        <v>194</v>
      </c>
      <c r="C191" s="52" t="s">
        <v>255</v>
      </c>
      <c r="E191" s="60">
        <f t="shared" si="3"/>
        <v>82</v>
      </c>
      <c r="F191" s="52" t="s">
        <v>255</v>
      </c>
      <c r="G191" s="64" t="s">
        <v>194</v>
      </c>
    </row>
    <row r="192" spans="2:7" x14ac:dyDescent="0.3">
      <c r="B192" s="48" t="s">
        <v>177</v>
      </c>
      <c r="C192" s="52" t="s">
        <v>255</v>
      </c>
      <c r="E192" s="60">
        <f t="shared" si="3"/>
        <v>82</v>
      </c>
      <c r="F192" s="52" t="s">
        <v>255</v>
      </c>
      <c r="G192" s="64" t="s">
        <v>177</v>
      </c>
    </row>
    <row r="193" spans="2:7" x14ac:dyDescent="0.3">
      <c r="B193" s="48" t="s">
        <v>194</v>
      </c>
      <c r="C193" s="52" t="s">
        <v>256</v>
      </c>
      <c r="E193" s="60">
        <f t="shared" si="3"/>
        <v>83</v>
      </c>
      <c r="F193" s="52" t="s">
        <v>256</v>
      </c>
      <c r="G193" s="64" t="s">
        <v>194</v>
      </c>
    </row>
    <row r="194" spans="2:7" x14ac:dyDescent="0.3">
      <c r="B194" s="48" t="s">
        <v>78</v>
      </c>
      <c r="C194" s="52" t="s">
        <v>257</v>
      </c>
      <c r="E194" s="60">
        <f t="shared" si="3"/>
        <v>84</v>
      </c>
      <c r="F194" s="52" t="s">
        <v>257</v>
      </c>
      <c r="G194" s="64" t="s">
        <v>78</v>
      </c>
    </row>
    <row r="195" spans="2:7" x14ac:dyDescent="0.3">
      <c r="B195" s="48" t="s">
        <v>174</v>
      </c>
      <c r="C195" s="52" t="s">
        <v>257</v>
      </c>
      <c r="E195" s="60">
        <f t="shared" si="3"/>
        <v>84</v>
      </c>
      <c r="F195" s="52" t="s">
        <v>257</v>
      </c>
      <c r="G195" s="64" t="s">
        <v>174</v>
      </c>
    </row>
    <row r="196" spans="2:7" x14ac:dyDescent="0.3">
      <c r="B196" s="48" t="s">
        <v>44</v>
      </c>
      <c r="C196" s="52" t="s">
        <v>258</v>
      </c>
      <c r="E196" s="60">
        <f t="shared" si="3"/>
        <v>85</v>
      </c>
      <c r="F196" s="52" t="s">
        <v>258</v>
      </c>
      <c r="G196" s="64" t="s">
        <v>44</v>
      </c>
    </row>
    <row r="197" spans="2:7" x14ac:dyDescent="0.3">
      <c r="B197" s="48" t="s">
        <v>48</v>
      </c>
      <c r="C197" s="52" t="s">
        <v>259</v>
      </c>
      <c r="E197" s="60">
        <f t="shared" si="3"/>
        <v>86</v>
      </c>
      <c r="F197" s="52" t="s">
        <v>259</v>
      </c>
      <c r="G197" s="64" t="s">
        <v>48</v>
      </c>
    </row>
    <row r="198" spans="2:7" x14ac:dyDescent="0.3">
      <c r="B198" s="48" t="s">
        <v>194</v>
      </c>
      <c r="C198" s="52" t="s">
        <v>260</v>
      </c>
      <c r="E198" s="60">
        <f t="shared" si="3"/>
        <v>87</v>
      </c>
      <c r="F198" s="52" t="s">
        <v>260</v>
      </c>
      <c r="G198" s="64" t="s">
        <v>194</v>
      </c>
    </row>
    <row r="199" spans="2:7" x14ac:dyDescent="0.3">
      <c r="B199" s="48" t="s">
        <v>80</v>
      </c>
      <c r="C199" s="52" t="s">
        <v>260</v>
      </c>
      <c r="E199" s="60">
        <f t="shared" si="3"/>
        <v>87</v>
      </c>
      <c r="F199" s="52" t="s">
        <v>260</v>
      </c>
      <c r="G199" s="64" t="s">
        <v>80</v>
      </c>
    </row>
    <row r="200" spans="2:7" x14ac:dyDescent="0.3">
      <c r="B200" s="48" t="s">
        <v>40</v>
      </c>
      <c r="C200" s="52" t="s">
        <v>261</v>
      </c>
      <c r="E200" s="60">
        <f t="shared" si="3"/>
        <v>88</v>
      </c>
      <c r="F200" s="52" t="s">
        <v>261</v>
      </c>
      <c r="G200" s="64" t="s">
        <v>40</v>
      </c>
    </row>
    <row r="201" spans="2:7" x14ac:dyDescent="0.3">
      <c r="B201" s="48" t="s">
        <v>59</v>
      </c>
      <c r="C201" s="52" t="s">
        <v>262</v>
      </c>
      <c r="E201" s="60">
        <f t="shared" si="3"/>
        <v>89</v>
      </c>
      <c r="F201" s="52" t="s">
        <v>262</v>
      </c>
      <c r="G201" s="64" t="s">
        <v>59</v>
      </c>
    </row>
    <row r="202" spans="2:7" x14ac:dyDescent="0.3">
      <c r="B202" s="48" t="s">
        <v>37</v>
      </c>
      <c r="C202" s="52" t="s">
        <v>262</v>
      </c>
      <c r="E202" s="60">
        <f t="shared" si="3"/>
        <v>89</v>
      </c>
      <c r="F202" s="52" t="s">
        <v>262</v>
      </c>
      <c r="G202" s="64" t="s">
        <v>37</v>
      </c>
    </row>
    <row r="203" spans="2:7" x14ac:dyDescent="0.3">
      <c r="B203" s="48" t="s">
        <v>44</v>
      </c>
      <c r="C203" s="52" t="s">
        <v>262</v>
      </c>
      <c r="E203" s="60">
        <f t="shared" ref="E203:E215" si="4">INDEX($P$3:$P$97,MATCH(F203,$O$3:$O$97,0))</f>
        <v>89</v>
      </c>
      <c r="F203" s="52" t="s">
        <v>262</v>
      </c>
      <c r="G203" s="64" t="s">
        <v>44</v>
      </c>
    </row>
    <row r="204" spans="2:7" x14ac:dyDescent="0.3">
      <c r="B204" s="48" t="s">
        <v>194</v>
      </c>
      <c r="C204" s="52" t="s">
        <v>262</v>
      </c>
      <c r="E204" s="60">
        <f t="shared" si="4"/>
        <v>89</v>
      </c>
      <c r="F204" s="52" t="s">
        <v>262</v>
      </c>
      <c r="G204" s="64" t="s">
        <v>194</v>
      </c>
    </row>
    <row r="205" spans="2:7" x14ac:dyDescent="0.3">
      <c r="B205" s="48" t="s">
        <v>48</v>
      </c>
      <c r="C205" s="52" t="s">
        <v>262</v>
      </c>
      <c r="E205" s="60">
        <f t="shared" si="4"/>
        <v>89</v>
      </c>
      <c r="F205" s="52" t="s">
        <v>262</v>
      </c>
      <c r="G205" s="64" t="s">
        <v>48</v>
      </c>
    </row>
    <row r="206" spans="2:7" x14ac:dyDescent="0.3">
      <c r="B206" s="48" t="s">
        <v>40</v>
      </c>
      <c r="C206" s="52" t="s">
        <v>263</v>
      </c>
      <c r="E206" s="60">
        <f t="shared" si="4"/>
        <v>90</v>
      </c>
      <c r="F206" s="52" t="s">
        <v>263</v>
      </c>
      <c r="G206" s="64" t="s">
        <v>40</v>
      </c>
    </row>
    <row r="207" spans="2:7" x14ac:dyDescent="0.3">
      <c r="B207" s="48" t="s">
        <v>46</v>
      </c>
      <c r="C207" s="52" t="s">
        <v>264</v>
      </c>
      <c r="E207" s="60">
        <f t="shared" si="4"/>
        <v>91</v>
      </c>
      <c r="F207" s="52" t="s">
        <v>264</v>
      </c>
      <c r="G207" s="64" t="s">
        <v>46</v>
      </c>
    </row>
    <row r="208" spans="2:7" x14ac:dyDescent="0.3">
      <c r="B208" s="48" t="s">
        <v>42</v>
      </c>
      <c r="C208" s="52" t="s">
        <v>265</v>
      </c>
      <c r="E208" s="60">
        <f t="shared" si="4"/>
        <v>92</v>
      </c>
      <c r="F208" s="52" t="s">
        <v>265</v>
      </c>
      <c r="G208" s="64" t="s">
        <v>42</v>
      </c>
    </row>
    <row r="209" spans="2:7" x14ac:dyDescent="0.3">
      <c r="B209" s="48" t="s">
        <v>11</v>
      </c>
      <c r="C209" s="52" t="s">
        <v>265</v>
      </c>
      <c r="E209" s="60">
        <f t="shared" si="4"/>
        <v>92</v>
      </c>
      <c r="F209" s="52" t="s">
        <v>265</v>
      </c>
      <c r="G209" s="64" t="s">
        <v>11</v>
      </c>
    </row>
    <row r="210" spans="2:7" x14ac:dyDescent="0.3">
      <c r="B210" s="48" t="s">
        <v>174</v>
      </c>
      <c r="C210" s="52" t="s">
        <v>265</v>
      </c>
      <c r="E210" s="60">
        <f t="shared" si="4"/>
        <v>92</v>
      </c>
      <c r="F210" s="52" t="s">
        <v>265</v>
      </c>
      <c r="G210" s="64" t="s">
        <v>174</v>
      </c>
    </row>
    <row r="211" spans="2:7" x14ac:dyDescent="0.3">
      <c r="B211" s="48" t="s">
        <v>35</v>
      </c>
      <c r="C211" s="52" t="s">
        <v>266</v>
      </c>
      <c r="E211" s="60">
        <f t="shared" si="4"/>
        <v>93</v>
      </c>
      <c r="F211" s="52" t="s">
        <v>266</v>
      </c>
      <c r="G211" s="64" t="s">
        <v>35</v>
      </c>
    </row>
    <row r="212" spans="2:7" x14ac:dyDescent="0.3">
      <c r="B212" s="48" t="s">
        <v>174</v>
      </c>
      <c r="C212" s="52" t="s">
        <v>266</v>
      </c>
      <c r="E212" s="60">
        <f t="shared" si="4"/>
        <v>93</v>
      </c>
      <c r="F212" s="52" t="s">
        <v>266</v>
      </c>
      <c r="G212" s="64" t="s">
        <v>174</v>
      </c>
    </row>
    <row r="213" spans="2:7" x14ac:dyDescent="0.3">
      <c r="B213" s="48" t="s">
        <v>185</v>
      </c>
      <c r="C213" s="52" t="s">
        <v>267</v>
      </c>
      <c r="E213" s="60">
        <f t="shared" si="4"/>
        <v>94</v>
      </c>
      <c r="F213" s="52" t="s">
        <v>267</v>
      </c>
      <c r="G213" s="64" t="s">
        <v>185</v>
      </c>
    </row>
    <row r="214" spans="2:7" x14ac:dyDescent="0.3">
      <c r="B214" s="76" t="s">
        <v>78</v>
      </c>
      <c r="C214" s="123" t="s">
        <v>268</v>
      </c>
      <c r="E214" s="60">
        <f t="shared" si="4"/>
        <v>95</v>
      </c>
      <c r="F214" s="52" t="s">
        <v>268</v>
      </c>
      <c r="G214" s="64" t="s">
        <v>78</v>
      </c>
    </row>
    <row r="215" spans="2:7" ht="14.4" thickBot="1" x14ac:dyDescent="0.35">
      <c r="B215" s="49" t="s">
        <v>11</v>
      </c>
      <c r="C215" s="53" t="s">
        <v>268</v>
      </c>
      <c r="E215" s="61">
        <f t="shared" si="4"/>
        <v>95</v>
      </c>
      <c r="F215" s="53" t="s">
        <v>268</v>
      </c>
      <c r="G215" s="65" t="s">
        <v>11</v>
      </c>
    </row>
  </sheetData>
  <autoFilter ref="B2:C215" xr:uid="{00000000-0009-0000-0000-000003000000}"/>
  <sortState xmlns:xlrd2="http://schemas.microsoft.com/office/spreadsheetml/2017/richdata2" ref="B3:C167">
    <sortCondition ref="C3:C167"/>
    <sortCondition ref="B3:B167"/>
  </sortState>
  <conditionalFormatting sqref="C1:C2 C4:C1048576">
    <cfRule type="duplicateValues" dxfId="12" priority="11"/>
    <cfRule type="duplicateValues" dxfId="11" priority="12"/>
  </conditionalFormatting>
  <conditionalFormatting sqref="C3">
    <cfRule type="duplicateValues" dxfId="10" priority="7"/>
    <cfRule type="duplicateValues" dxfId="9" priority="8"/>
  </conditionalFormatting>
  <conditionalFormatting sqref="C206">
    <cfRule type="duplicateValues" dxfId="8" priority="3"/>
    <cfRule type="duplicateValues" dxfId="7" priority="4"/>
  </conditionalFormatting>
  <conditionalFormatting sqref="F207">
    <cfRule type="duplicateValues" dxfId="6" priority="1"/>
    <cfRule type="duplicateValues" dxfId="5" priority="2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86B111B2-4348-4A27-A674-348C084CF811}">
            <xm:f>NOT(ISERROR(SEARCH("FALSE",M3)))</xm:f>
            <xm:f>"FALSE"</xm:f>
            <x14:dxf>
              <fill>
                <patternFill>
                  <bgColor theme="5"/>
                </patternFill>
              </fill>
            </x14:dxf>
          </x14:cfRule>
          <x14:cfRule type="containsText" priority="6" operator="containsText" id="{24509B05-BA6C-4583-9BBC-FB28A31D95BB}">
            <xm:f>NOT(ISERROR(SEARCH("TRUE",M3)))</xm:f>
            <xm:f>"TRUE"</xm:f>
            <x14:dxf>
              <fill>
                <patternFill>
                  <bgColor theme="9" tint="0.39994506668294322"/>
                </patternFill>
              </fill>
            </x14:dxf>
          </x14:cfRule>
          <xm:sqref>M3:M33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B1:AJ21"/>
  <sheetViews>
    <sheetView zoomScale="80" zoomScaleNormal="80" workbookViewId="0">
      <pane ySplit="2" topLeftCell="A3" activePane="bottomLeft" state="frozen"/>
      <selection pane="bottomLeft" activeCell="B2" sqref="B2"/>
    </sheetView>
  </sheetViews>
  <sheetFormatPr baseColWidth="10" defaultColWidth="9.109375" defaultRowHeight="13.8" x14ac:dyDescent="0.3"/>
  <cols>
    <col min="1" max="1" width="0.6640625" style="4" customWidth="1"/>
    <col min="2" max="2" width="25.44140625" style="4" bestFit="1" customWidth="1"/>
    <col min="3" max="3" width="15" style="3" customWidth="1"/>
    <col min="4" max="4" width="1.6640625" style="4" customWidth="1"/>
    <col min="5" max="5" width="25.109375" style="4" bestFit="1" customWidth="1"/>
    <col min="6" max="6" width="10" style="3" bestFit="1" customWidth="1"/>
    <col min="7" max="7" width="1.6640625" style="4" customWidth="1"/>
    <col min="8" max="8" width="39.44140625" style="4" bestFit="1" customWidth="1"/>
    <col min="9" max="9" width="10" style="4" bestFit="1" customWidth="1"/>
    <col min="10" max="10" width="1.6640625" style="4" customWidth="1"/>
    <col min="11" max="11" width="56.33203125" style="4" bestFit="1" customWidth="1"/>
    <col min="12" max="12" width="10" style="4" bestFit="1" customWidth="1"/>
    <col min="13" max="13" width="1.6640625" style="4" customWidth="1"/>
    <col min="14" max="14" width="29.88671875" style="4" bestFit="1" customWidth="1"/>
    <col min="15" max="15" width="10" style="4" bestFit="1" customWidth="1"/>
    <col min="16" max="16" width="1.6640625" style="4" customWidth="1"/>
    <col min="17" max="17" width="39.109375" style="4" bestFit="1" customWidth="1"/>
    <col min="18" max="18" width="10" style="4" bestFit="1" customWidth="1"/>
    <col min="19" max="19" width="1.6640625" style="4" customWidth="1"/>
    <col min="20" max="20" width="30.6640625" style="4" bestFit="1" customWidth="1"/>
    <col min="21" max="21" width="10" style="4" bestFit="1" customWidth="1"/>
    <col min="22" max="22" width="1.6640625" style="4" customWidth="1"/>
    <col min="23" max="23" width="29.88671875" style="4" bestFit="1" customWidth="1"/>
    <col min="24" max="24" width="10" style="4" bestFit="1" customWidth="1"/>
    <col min="25" max="25" width="1.6640625" style="4" customWidth="1"/>
    <col min="26" max="26" width="38.6640625" style="4" bestFit="1" customWidth="1"/>
    <col min="27" max="27" width="10" style="4" bestFit="1" customWidth="1"/>
    <col min="28" max="28" width="1.6640625" style="4" customWidth="1"/>
    <col min="29" max="29" width="38.6640625" style="4" bestFit="1" customWidth="1"/>
    <col min="30" max="30" width="10" style="4" bestFit="1" customWidth="1"/>
    <col min="31" max="31" width="1.6640625" style="4" customWidth="1"/>
    <col min="32" max="32" width="62" style="4" bestFit="1" customWidth="1"/>
    <col min="33" max="33" width="10" style="4" bestFit="1" customWidth="1"/>
    <col min="34" max="34" width="1.6640625" style="4" customWidth="1"/>
    <col min="35" max="35" width="25.33203125" style="4" bestFit="1" customWidth="1"/>
    <col min="36" max="36" width="10" style="4" bestFit="1" customWidth="1"/>
    <col min="37" max="16384" width="9.109375" style="4"/>
  </cols>
  <sheetData>
    <row r="1" spans="2:36" ht="3" customHeight="1" thickBot="1" x14ac:dyDescent="0.35">
      <c r="AC1" s="54"/>
      <c r="AD1" s="55"/>
    </row>
    <row r="2" spans="2:36" ht="14.4" thickBot="1" x14ac:dyDescent="0.35">
      <c r="B2" s="46" t="s">
        <v>270</v>
      </c>
      <c r="C2" s="38" t="s">
        <v>165</v>
      </c>
      <c r="D2" s="6"/>
      <c r="E2" s="46" t="s">
        <v>11</v>
      </c>
      <c r="F2" s="38" t="s">
        <v>271</v>
      </c>
      <c r="G2" s="6"/>
      <c r="H2" s="46" t="s">
        <v>171</v>
      </c>
      <c r="I2" s="38" t="s">
        <v>271</v>
      </c>
      <c r="J2" s="6"/>
      <c r="K2" s="46" t="s">
        <v>174</v>
      </c>
      <c r="L2" s="38" t="s">
        <v>271</v>
      </c>
      <c r="M2" s="6"/>
      <c r="N2" s="46" t="s">
        <v>173</v>
      </c>
      <c r="O2" s="38" t="s">
        <v>271</v>
      </c>
      <c r="P2" s="6"/>
      <c r="Q2" s="46" t="s">
        <v>177</v>
      </c>
      <c r="R2" s="38" t="s">
        <v>271</v>
      </c>
      <c r="S2" s="6"/>
      <c r="T2" s="46" t="s">
        <v>180</v>
      </c>
      <c r="U2" s="38" t="s">
        <v>271</v>
      </c>
      <c r="V2" s="6"/>
      <c r="W2" s="46" t="s">
        <v>182</v>
      </c>
      <c r="X2" s="38" t="s">
        <v>271</v>
      </c>
      <c r="Y2" s="6"/>
      <c r="Z2" s="46" t="s">
        <v>179</v>
      </c>
      <c r="AA2" s="38" t="s">
        <v>271</v>
      </c>
      <c r="AB2" s="6"/>
      <c r="AC2" s="46" t="s">
        <v>35</v>
      </c>
      <c r="AD2" s="38" t="s">
        <v>271</v>
      </c>
      <c r="AE2" s="6"/>
      <c r="AF2" s="46" t="s">
        <v>28</v>
      </c>
      <c r="AG2" s="38" t="s">
        <v>271</v>
      </c>
      <c r="AH2" s="6"/>
      <c r="AI2" s="46" t="s">
        <v>185</v>
      </c>
      <c r="AJ2" s="38" t="s">
        <v>271</v>
      </c>
    </row>
    <row r="3" spans="2:36" x14ac:dyDescent="0.3">
      <c r="B3" s="47" t="s">
        <v>11</v>
      </c>
      <c r="C3" s="56">
        <f>F12</f>
        <v>9</v>
      </c>
      <c r="D3" s="3"/>
      <c r="E3" s="47" t="s">
        <v>265</v>
      </c>
      <c r="F3" s="56">
        <v>2</v>
      </c>
      <c r="G3" s="3"/>
      <c r="H3" s="47" t="s">
        <v>178</v>
      </c>
      <c r="I3" s="56">
        <v>2</v>
      </c>
      <c r="J3" s="3"/>
      <c r="K3" s="47" t="s">
        <v>242</v>
      </c>
      <c r="L3" s="56">
        <v>2</v>
      </c>
      <c r="M3" s="3"/>
      <c r="N3" s="47" t="s">
        <v>214</v>
      </c>
      <c r="O3" s="56">
        <v>1</v>
      </c>
      <c r="P3" s="3"/>
      <c r="Q3" s="47" t="s">
        <v>214</v>
      </c>
      <c r="R3" s="56">
        <v>2</v>
      </c>
      <c r="S3" s="3"/>
      <c r="T3" s="47" t="s">
        <v>214</v>
      </c>
      <c r="U3" s="56">
        <v>2</v>
      </c>
      <c r="V3" s="3"/>
      <c r="W3" s="47" t="s">
        <v>192</v>
      </c>
      <c r="X3" s="56">
        <v>2</v>
      </c>
      <c r="Y3" s="3"/>
      <c r="Z3" s="47" t="s">
        <v>214</v>
      </c>
      <c r="AA3" s="56">
        <v>2</v>
      </c>
      <c r="AB3" s="3"/>
      <c r="AC3" s="47" t="s">
        <v>197</v>
      </c>
      <c r="AD3" s="56">
        <v>1</v>
      </c>
      <c r="AE3" s="3"/>
      <c r="AF3" s="47" t="s">
        <v>245</v>
      </c>
      <c r="AG3" s="56">
        <v>2</v>
      </c>
      <c r="AH3" s="3"/>
      <c r="AI3" s="47" t="s">
        <v>189</v>
      </c>
      <c r="AJ3" s="56">
        <v>2</v>
      </c>
    </row>
    <row r="4" spans="2:36" x14ac:dyDescent="0.3">
      <c r="B4" s="48" t="s">
        <v>171</v>
      </c>
      <c r="C4" s="57">
        <f>I21</f>
        <v>18</v>
      </c>
      <c r="D4" s="3"/>
      <c r="E4" s="48" t="s">
        <v>192</v>
      </c>
      <c r="F4" s="57">
        <v>2</v>
      </c>
      <c r="G4" s="3"/>
      <c r="H4" s="48" t="s">
        <v>235</v>
      </c>
      <c r="I4" s="57">
        <v>1</v>
      </c>
      <c r="J4" s="3"/>
      <c r="K4" s="48" t="s">
        <v>257</v>
      </c>
      <c r="L4" s="57">
        <v>2</v>
      </c>
      <c r="M4" s="3"/>
      <c r="N4" s="48" t="s">
        <v>198</v>
      </c>
      <c r="O4" s="57">
        <v>1</v>
      </c>
      <c r="P4" s="3"/>
      <c r="Q4" s="48" t="s">
        <v>199</v>
      </c>
      <c r="R4" s="57">
        <v>1</v>
      </c>
      <c r="S4" s="3"/>
      <c r="T4" s="48" t="s">
        <v>81</v>
      </c>
      <c r="U4" s="57">
        <v>1</v>
      </c>
      <c r="V4" s="3"/>
      <c r="W4" s="48" t="s">
        <v>222</v>
      </c>
      <c r="X4" s="57">
        <v>2</v>
      </c>
      <c r="Y4" s="3"/>
      <c r="Z4" s="48" t="s">
        <v>81</v>
      </c>
      <c r="AA4" s="57">
        <v>1</v>
      </c>
      <c r="AB4" s="3"/>
      <c r="AC4" s="48" t="s">
        <v>247</v>
      </c>
      <c r="AD4" s="57">
        <v>1</v>
      </c>
      <c r="AE4" s="3"/>
      <c r="AF4" s="48" t="s">
        <v>87</v>
      </c>
      <c r="AG4" s="57">
        <v>2</v>
      </c>
      <c r="AH4" s="3"/>
      <c r="AI4" s="48" t="s">
        <v>209</v>
      </c>
      <c r="AJ4" s="57">
        <v>2</v>
      </c>
    </row>
    <row r="5" spans="2:36" x14ac:dyDescent="0.3">
      <c r="B5" s="48" t="s">
        <v>174</v>
      </c>
      <c r="C5" s="57">
        <f>L12</f>
        <v>9</v>
      </c>
      <c r="D5" s="3"/>
      <c r="E5" s="48" t="s">
        <v>222</v>
      </c>
      <c r="F5" s="57">
        <v>2</v>
      </c>
      <c r="G5" s="3"/>
      <c r="H5" s="48" t="s">
        <v>207</v>
      </c>
      <c r="I5" s="57">
        <v>1</v>
      </c>
      <c r="J5" s="3"/>
      <c r="K5" s="48" t="s">
        <v>265</v>
      </c>
      <c r="L5" s="57">
        <v>1</v>
      </c>
      <c r="M5" s="3"/>
      <c r="N5" s="48" t="s">
        <v>272</v>
      </c>
      <c r="O5" s="57">
        <v>1</v>
      </c>
      <c r="P5" s="3"/>
      <c r="Q5" s="48" t="s">
        <v>255</v>
      </c>
      <c r="R5" s="57">
        <v>1</v>
      </c>
      <c r="S5" s="3"/>
      <c r="T5" s="48" t="s">
        <v>197</v>
      </c>
      <c r="U5" s="57">
        <v>1</v>
      </c>
      <c r="V5" s="3"/>
      <c r="W5" s="48" t="s">
        <v>214</v>
      </c>
      <c r="X5" s="57">
        <v>1</v>
      </c>
      <c r="Y5" s="3"/>
      <c r="Z5" s="48" t="s">
        <v>227</v>
      </c>
      <c r="AA5" s="57">
        <v>1</v>
      </c>
      <c r="AB5" s="3"/>
      <c r="AC5" s="48" t="s">
        <v>184</v>
      </c>
      <c r="AD5" s="57">
        <v>1</v>
      </c>
      <c r="AE5" s="3"/>
      <c r="AF5" s="48" t="s">
        <v>206</v>
      </c>
      <c r="AG5" s="57">
        <v>2</v>
      </c>
      <c r="AH5" s="3"/>
      <c r="AI5" s="48" t="s">
        <v>212</v>
      </c>
      <c r="AJ5" s="57">
        <v>1</v>
      </c>
    </row>
    <row r="6" spans="2:36" x14ac:dyDescent="0.3">
      <c r="B6" s="48" t="s">
        <v>173</v>
      </c>
      <c r="C6" s="57">
        <f>O13</f>
        <v>10</v>
      </c>
      <c r="D6" s="3"/>
      <c r="E6" s="48" t="s">
        <v>268</v>
      </c>
      <c r="F6" s="57">
        <v>1</v>
      </c>
      <c r="G6" s="3"/>
      <c r="H6" s="48" t="s">
        <v>225</v>
      </c>
      <c r="I6" s="57">
        <v>1</v>
      </c>
      <c r="J6" s="3"/>
      <c r="K6" s="48" t="s">
        <v>43</v>
      </c>
      <c r="L6" s="57">
        <v>1</v>
      </c>
      <c r="M6" s="3"/>
      <c r="N6" s="48" t="s">
        <v>202</v>
      </c>
      <c r="O6" s="57">
        <v>1</v>
      </c>
      <c r="P6" s="3"/>
      <c r="Q6" s="48" t="s">
        <v>216</v>
      </c>
      <c r="R6" s="57">
        <v>1</v>
      </c>
      <c r="S6" s="3"/>
      <c r="T6" s="48" t="s">
        <v>183</v>
      </c>
      <c r="U6" s="57">
        <v>1</v>
      </c>
      <c r="V6" s="3"/>
      <c r="W6" s="48" t="s">
        <v>219</v>
      </c>
      <c r="X6" s="57">
        <v>1</v>
      </c>
      <c r="Y6" s="3"/>
      <c r="Z6" s="48" t="s">
        <v>208</v>
      </c>
      <c r="AA6" s="57">
        <v>1</v>
      </c>
      <c r="AB6" s="3"/>
      <c r="AC6" s="48" t="s">
        <v>208</v>
      </c>
      <c r="AD6" s="57">
        <v>1</v>
      </c>
      <c r="AE6" s="3"/>
      <c r="AF6" s="48" t="s">
        <v>175</v>
      </c>
      <c r="AG6" s="57">
        <v>1</v>
      </c>
      <c r="AH6" s="3"/>
      <c r="AI6" s="48" t="s">
        <v>191</v>
      </c>
      <c r="AJ6" s="57">
        <v>1</v>
      </c>
    </row>
    <row r="7" spans="2:36" x14ac:dyDescent="0.3">
      <c r="B7" s="48" t="s">
        <v>177</v>
      </c>
      <c r="C7" s="57">
        <f>R11</f>
        <v>8</v>
      </c>
      <c r="D7" s="3"/>
      <c r="E7" s="48" t="s">
        <v>170</v>
      </c>
      <c r="F7" s="57">
        <v>1</v>
      </c>
      <c r="G7" s="3"/>
      <c r="H7" s="48" t="s">
        <v>200</v>
      </c>
      <c r="I7" s="57">
        <v>1</v>
      </c>
      <c r="J7" s="3"/>
      <c r="K7" s="48" t="s">
        <v>187</v>
      </c>
      <c r="L7" s="57">
        <v>1</v>
      </c>
      <c r="M7" s="3"/>
      <c r="N7" s="48" t="s">
        <v>215</v>
      </c>
      <c r="O7" s="57">
        <v>1</v>
      </c>
      <c r="P7" s="3"/>
      <c r="Q7" s="48" t="s">
        <v>196</v>
      </c>
      <c r="R7" s="57">
        <v>1</v>
      </c>
      <c r="S7" s="3"/>
      <c r="T7" s="48" t="s">
        <v>225</v>
      </c>
      <c r="U7" s="57">
        <v>1</v>
      </c>
      <c r="V7" s="3"/>
      <c r="W7" s="48" t="s">
        <v>209</v>
      </c>
      <c r="X7" s="57">
        <v>1</v>
      </c>
      <c r="Y7" s="3"/>
      <c r="Z7" s="48" t="s">
        <v>175</v>
      </c>
      <c r="AA7" s="57">
        <v>1</v>
      </c>
      <c r="AB7" s="3"/>
      <c r="AC7" s="48" t="s">
        <v>235</v>
      </c>
      <c r="AD7" s="57">
        <v>1</v>
      </c>
      <c r="AE7" s="3"/>
      <c r="AF7" s="48" t="s">
        <v>202</v>
      </c>
      <c r="AG7" s="57">
        <v>1</v>
      </c>
      <c r="AH7" s="3"/>
      <c r="AI7" s="48" t="s">
        <v>267</v>
      </c>
      <c r="AJ7" s="57">
        <v>1</v>
      </c>
    </row>
    <row r="8" spans="2:36" x14ac:dyDescent="0.3">
      <c r="B8" s="48" t="s">
        <v>180</v>
      </c>
      <c r="C8" s="57">
        <f>U12</f>
        <v>9</v>
      </c>
      <c r="D8" s="3"/>
      <c r="E8" s="48" t="s">
        <v>247</v>
      </c>
      <c r="F8" s="57">
        <v>1</v>
      </c>
      <c r="G8" s="3"/>
      <c r="H8" s="48" t="s">
        <v>217</v>
      </c>
      <c r="I8" s="57">
        <v>1</v>
      </c>
      <c r="J8" s="3"/>
      <c r="K8" s="48" t="s">
        <v>81</v>
      </c>
      <c r="L8" s="57">
        <v>1</v>
      </c>
      <c r="M8" s="3"/>
      <c r="N8" s="48" t="s">
        <v>175</v>
      </c>
      <c r="O8" s="57">
        <v>1</v>
      </c>
      <c r="P8" s="3"/>
      <c r="Q8" s="48" t="s">
        <v>239</v>
      </c>
      <c r="R8" s="57">
        <v>1</v>
      </c>
      <c r="S8" s="3"/>
      <c r="T8" s="48" t="s">
        <v>175</v>
      </c>
      <c r="U8" s="57">
        <v>1</v>
      </c>
      <c r="V8" s="3"/>
      <c r="W8" s="48" t="s">
        <v>220</v>
      </c>
      <c r="X8" s="57">
        <v>1</v>
      </c>
      <c r="Y8" s="3"/>
      <c r="Z8" s="48" t="s">
        <v>215</v>
      </c>
      <c r="AA8" s="57">
        <v>1</v>
      </c>
      <c r="AB8" s="3"/>
      <c r="AC8" s="48" t="s">
        <v>213</v>
      </c>
      <c r="AD8" s="57">
        <v>1</v>
      </c>
      <c r="AE8" s="3"/>
      <c r="AF8" s="48" t="s">
        <v>205</v>
      </c>
      <c r="AG8" s="57">
        <v>1</v>
      </c>
      <c r="AH8" s="3"/>
      <c r="AI8" s="48" t="s">
        <v>251</v>
      </c>
      <c r="AJ8" s="57">
        <v>1</v>
      </c>
    </row>
    <row r="9" spans="2:36" x14ac:dyDescent="0.3">
      <c r="B9" s="48" t="s">
        <v>182</v>
      </c>
      <c r="C9" s="57">
        <f>X11</f>
        <v>8</v>
      </c>
      <c r="D9" s="3"/>
      <c r="E9" s="48" t="s">
        <v>41</v>
      </c>
      <c r="F9" s="57">
        <v>1</v>
      </c>
      <c r="G9" s="3"/>
      <c r="H9" s="48" t="s">
        <v>215</v>
      </c>
      <c r="I9" s="57">
        <v>1</v>
      </c>
      <c r="J9" s="3"/>
      <c r="K9" s="48" t="s">
        <v>197</v>
      </c>
      <c r="L9" s="57">
        <v>1</v>
      </c>
      <c r="M9" s="3"/>
      <c r="N9" s="48" t="s">
        <v>196</v>
      </c>
      <c r="O9" s="57">
        <v>1</v>
      </c>
      <c r="P9" s="3"/>
      <c r="Q9" s="48" t="s">
        <v>225</v>
      </c>
      <c r="R9" s="57">
        <v>1</v>
      </c>
      <c r="S9" s="3"/>
      <c r="T9" s="48" t="s">
        <v>241</v>
      </c>
      <c r="U9" s="57">
        <v>1</v>
      </c>
      <c r="V9" s="3"/>
      <c r="W9" s="48" t="s">
        <v>191</v>
      </c>
      <c r="X9" s="57">
        <v>1</v>
      </c>
      <c r="Y9" s="3"/>
      <c r="Z9" s="48" t="s">
        <v>196</v>
      </c>
      <c r="AA9" s="57">
        <v>1</v>
      </c>
      <c r="AB9" s="3"/>
      <c r="AC9" s="76" t="s">
        <v>253</v>
      </c>
      <c r="AD9" s="77">
        <v>1</v>
      </c>
      <c r="AE9" s="3"/>
      <c r="AF9" s="48" t="s">
        <v>248</v>
      </c>
      <c r="AG9" s="57">
        <v>1</v>
      </c>
      <c r="AH9" s="3"/>
      <c r="AI9" s="48" t="s">
        <v>249</v>
      </c>
      <c r="AJ9" s="57">
        <v>1</v>
      </c>
    </row>
    <row r="10" spans="2:36" ht="14.4" thickBot="1" x14ac:dyDescent="0.35">
      <c r="B10" s="48" t="s">
        <v>179</v>
      </c>
      <c r="C10" s="57">
        <f>AA12</f>
        <v>9</v>
      </c>
      <c r="D10" s="3"/>
      <c r="E10" s="48" t="s">
        <v>172</v>
      </c>
      <c r="F10" s="57">
        <v>1</v>
      </c>
      <c r="G10" s="3"/>
      <c r="H10" s="48" t="s">
        <v>204</v>
      </c>
      <c r="I10" s="57">
        <v>1</v>
      </c>
      <c r="J10" s="3"/>
      <c r="K10" s="48" t="s">
        <v>266</v>
      </c>
      <c r="L10" s="57">
        <v>1</v>
      </c>
      <c r="M10" s="3"/>
      <c r="N10" s="48" t="s">
        <v>225</v>
      </c>
      <c r="O10" s="57">
        <v>1</v>
      </c>
      <c r="P10" s="3"/>
      <c r="Q10" s="49" t="s">
        <v>188</v>
      </c>
      <c r="R10" s="27">
        <v>1</v>
      </c>
      <c r="S10" s="3"/>
      <c r="T10" s="48" t="s">
        <v>235</v>
      </c>
      <c r="U10" s="57">
        <v>1</v>
      </c>
      <c r="V10" s="3"/>
      <c r="W10" s="49" t="s">
        <v>229</v>
      </c>
      <c r="X10" s="27">
        <v>1</v>
      </c>
      <c r="Y10" s="3"/>
      <c r="Z10" s="48" t="s">
        <v>213</v>
      </c>
      <c r="AA10" s="57">
        <v>1</v>
      </c>
      <c r="AB10" s="3"/>
      <c r="AC10" s="48" t="s">
        <v>266</v>
      </c>
      <c r="AD10" s="57">
        <v>1</v>
      </c>
      <c r="AE10" s="3"/>
      <c r="AF10" s="48" t="s">
        <v>253</v>
      </c>
      <c r="AG10" s="57">
        <v>1</v>
      </c>
      <c r="AH10" s="3"/>
      <c r="AI10" s="49" t="s">
        <v>223</v>
      </c>
      <c r="AJ10" s="27">
        <v>1</v>
      </c>
    </row>
    <row r="11" spans="2:36" ht="14.4" thickBot="1" x14ac:dyDescent="0.35">
      <c r="B11" s="48" t="s">
        <v>35</v>
      </c>
      <c r="C11" s="57">
        <f>AD12</f>
        <v>9</v>
      </c>
      <c r="E11" s="49" t="s">
        <v>198</v>
      </c>
      <c r="F11" s="27">
        <v>1</v>
      </c>
      <c r="H11" s="48" t="s">
        <v>241</v>
      </c>
      <c r="I11" s="57">
        <v>1</v>
      </c>
      <c r="K11" s="49" t="s">
        <v>227</v>
      </c>
      <c r="L11" s="27">
        <v>1</v>
      </c>
      <c r="N11" s="48" t="s">
        <v>219</v>
      </c>
      <c r="O11" s="57">
        <v>1</v>
      </c>
      <c r="Q11" s="127" t="s">
        <v>153</v>
      </c>
      <c r="R11" s="128">
        <f>COUNT(R3:R10)</f>
        <v>8</v>
      </c>
      <c r="T11" s="49" t="s">
        <v>126</v>
      </c>
      <c r="U11" s="27">
        <v>1</v>
      </c>
      <c r="W11" s="127" t="s">
        <v>153</v>
      </c>
      <c r="X11" s="128">
        <f>COUNT(X3:X10)</f>
        <v>8</v>
      </c>
      <c r="Z11" s="49" t="s">
        <v>204</v>
      </c>
      <c r="AA11" s="27">
        <v>1</v>
      </c>
      <c r="AC11" s="49" t="s">
        <v>236</v>
      </c>
      <c r="AD11" s="27">
        <v>1</v>
      </c>
      <c r="AF11" s="49" t="s">
        <v>244</v>
      </c>
      <c r="AG11" s="27">
        <v>1</v>
      </c>
      <c r="AI11" s="127" t="s">
        <v>153</v>
      </c>
      <c r="AJ11" s="128">
        <f>COUNT(AJ3:AJ10)</f>
        <v>8</v>
      </c>
    </row>
    <row r="12" spans="2:36" ht="14.4" thickBot="1" x14ac:dyDescent="0.35">
      <c r="B12" s="48" t="s">
        <v>28</v>
      </c>
      <c r="C12" s="57">
        <f>AG12</f>
        <v>9</v>
      </c>
      <c r="E12" s="127" t="s">
        <v>153</v>
      </c>
      <c r="F12" s="128">
        <f>COUNT(F3:F11)</f>
        <v>9</v>
      </c>
      <c r="H12" s="48" t="s">
        <v>216</v>
      </c>
      <c r="I12" s="57">
        <v>1</v>
      </c>
      <c r="K12" s="127" t="s">
        <v>153</v>
      </c>
      <c r="L12" s="128">
        <f>COUNT(L3:L11)</f>
        <v>9</v>
      </c>
      <c r="N12" s="49" t="s">
        <v>170</v>
      </c>
      <c r="O12" s="27">
        <v>1</v>
      </c>
      <c r="R12" s="3"/>
      <c r="T12" s="127" t="s">
        <v>153</v>
      </c>
      <c r="U12" s="128">
        <f>COUNT(U3:U11)</f>
        <v>9</v>
      </c>
      <c r="Z12" s="127" t="s">
        <v>153</v>
      </c>
      <c r="AA12" s="128">
        <f>COUNT(AA3:AA11)</f>
        <v>9</v>
      </c>
      <c r="AC12" s="127" t="s">
        <v>153</v>
      </c>
      <c r="AD12" s="128">
        <f>COUNT(AD3:AD11)</f>
        <v>9</v>
      </c>
      <c r="AF12" s="127" t="s">
        <v>153</v>
      </c>
      <c r="AG12" s="128">
        <f>COUNT(AG3:AG11)</f>
        <v>9</v>
      </c>
    </row>
    <row r="13" spans="2:36" ht="14.4" thickBot="1" x14ac:dyDescent="0.35">
      <c r="B13" s="49" t="s">
        <v>185</v>
      </c>
      <c r="C13" s="27">
        <f>AJ11</f>
        <v>8</v>
      </c>
      <c r="H13" s="48" t="s">
        <v>181</v>
      </c>
      <c r="I13" s="57">
        <v>1</v>
      </c>
      <c r="N13" s="127" t="s">
        <v>153</v>
      </c>
      <c r="O13" s="128">
        <f>COUNT(O3:O12)</f>
        <v>10</v>
      </c>
      <c r="U13" s="3"/>
      <c r="AD13" s="3"/>
    </row>
    <row r="14" spans="2:36" ht="14.4" thickBot="1" x14ac:dyDescent="0.35">
      <c r="B14" s="127" t="s">
        <v>153</v>
      </c>
      <c r="C14" s="128">
        <f>SUM(C3:C13)</f>
        <v>106</v>
      </c>
      <c r="H14" s="48" t="s">
        <v>188</v>
      </c>
      <c r="I14" s="57">
        <v>1</v>
      </c>
      <c r="U14" s="3"/>
    </row>
    <row r="15" spans="2:36" x14ac:dyDescent="0.3">
      <c r="H15" s="48" t="s">
        <v>176</v>
      </c>
      <c r="I15" s="57">
        <v>1</v>
      </c>
    </row>
    <row r="16" spans="2:36" x14ac:dyDescent="0.3">
      <c r="H16" s="48" t="s">
        <v>236</v>
      </c>
      <c r="I16" s="57">
        <v>1</v>
      </c>
    </row>
    <row r="17" spans="8:9" x14ac:dyDescent="0.3">
      <c r="H17" s="48" t="s">
        <v>214</v>
      </c>
      <c r="I17" s="57">
        <v>1</v>
      </c>
    </row>
    <row r="18" spans="8:9" x14ac:dyDescent="0.3">
      <c r="H18" s="48" t="s">
        <v>189</v>
      </c>
      <c r="I18" s="57">
        <v>1</v>
      </c>
    </row>
    <row r="19" spans="8:9" x14ac:dyDescent="0.3">
      <c r="H19" s="48" t="s">
        <v>175</v>
      </c>
      <c r="I19" s="57">
        <v>1</v>
      </c>
    </row>
    <row r="20" spans="8:9" ht="14.4" thickBot="1" x14ac:dyDescent="0.35">
      <c r="H20" s="49" t="s">
        <v>254</v>
      </c>
      <c r="I20" s="27">
        <v>1</v>
      </c>
    </row>
    <row r="21" spans="8:9" ht="14.4" thickBot="1" x14ac:dyDescent="0.35">
      <c r="H21" s="127" t="s">
        <v>153</v>
      </c>
      <c r="I21" s="128">
        <f>COUNT(I3:I20)</f>
        <v>18</v>
      </c>
    </row>
  </sheetData>
  <sortState xmlns:xlrd2="http://schemas.microsoft.com/office/spreadsheetml/2017/richdata2" ref="Z2:AA10">
    <sortCondition descending="1" ref="AA2:AA10"/>
  </sortState>
  <conditionalFormatting sqref="AI3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1:Y17"/>
  <sheetViews>
    <sheetView zoomScale="80" zoomScaleNormal="80" workbookViewId="0">
      <pane ySplit="2" topLeftCell="A3" activePane="bottomLeft" state="frozen"/>
      <selection pane="bottomLeft" activeCell="B2" sqref="B2"/>
    </sheetView>
  </sheetViews>
  <sheetFormatPr baseColWidth="10" defaultColWidth="9.109375" defaultRowHeight="13.8" x14ac:dyDescent="0.3"/>
  <cols>
    <col min="1" max="1" width="0.6640625" style="4" customWidth="1"/>
    <col min="2" max="2" width="25.44140625" style="4" bestFit="1" customWidth="1"/>
    <col min="3" max="3" width="13.33203125" style="4" customWidth="1"/>
    <col min="4" max="4" width="1.6640625" style="4" customWidth="1"/>
    <col min="5" max="5" width="62" style="4" bestFit="1" customWidth="1"/>
    <col min="6" max="6" width="10" style="4" bestFit="1" customWidth="1"/>
    <col min="7" max="7" width="1.6640625" style="4" customWidth="1"/>
    <col min="8" max="8" width="41.44140625" style="4" bestFit="1" customWidth="1"/>
    <col min="9" max="9" width="10" style="4" bestFit="1" customWidth="1"/>
    <col min="10" max="10" width="1.6640625" style="4" customWidth="1"/>
    <col min="11" max="11" width="65.88671875" style="4" bestFit="1" customWidth="1"/>
    <col min="12" max="12" width="10" style="4" bestFit="1" customWidth="1"/>
    <col min="13" max="13" width="1.6640625" style="4" customWidth="1"/>
    <col min="14" max="14" width="34.44140625" style="4" bestFit="1" customWidth="1"/>
    <col min="15" max="15" width="10" style="4" bestFit="1" customWidth="1"/>
    <col min="16" max="16" width="1.6640625" style="4" customWidth="1"/>
    <col min="17" max="17" width="33.109375" style="4" bestFit="1" customWidth="1"/>
    <col min="18" max="18" width="10" style="4" bestFit="1" customWidth="1"/>
    <col min="19" max="19" width="1.6640625" style="4" customWidth="1"/>
    <col min="20" max="20" width="37.6640625" style="4" bestFit="1" customWidth="1"/>
    <col min="21" max="21" width="10" style="4" bestFit="1" customWidth="1"/>
    <col min="22" max="22" width="1.6640625" style="4" customWidth="1"/>
    <col min="23" max="23" width="53" style="4" bestFit="1" customWidth="1"/>
    <col min="24" max="24" width="10" style="4" bestFit="1" customWidth="1"/>
    <col min="25" max="25" width="1.6640625" style="4" customWidth="1"/>
    <col min="26" max="16384" width="9.109375" style="4"/>
  </cols>
  <sheetData>
    <row r="1" spans="2:25" ht="3" customHeight="1" thickBot="1" x14ac:dyDescent="0.35"/>
    <row r="2" spans="2:25" ht="14.4" thickBot="1" x14ac:dyDescent="0.35">
      <c r="B2" s="46" t="s">
        <v>273</v>
      </c>
      <c r="C2" s="38" t="s">
        <v>165</v>
      </c>
      <c r="D2" s="6"/>
      <c r="E2" s="46" t="s">
        <v>37</v>
      </c>
      <c r="F2" s="38" t="s">
        <v>271</v>
      </c>
      <c r="G2" s="6"/>
      <c r="H2" s="46" t="s">
        <v>44</v>
      </c>
      <c r="I2" s="38" t="s">
        <v>271</v>
      </c>
      <c r="J2" s="6"/>
      <c r="K2" s="46" t="s">
        <v>42</v>
      </c>
      <c r="L2" s="38" t="s">
        <v>271</v>
      </c>
      <c r="M2" s="6"/>
      <c r="N2" s="46" t="s">
        <v>46</v>
      </c>
      <c r="O2" s="38" t="s">
        <v>271</v>
      </c>
      <c r="P2" s="6"/>
      <c r="Q2" s="46" t="s">
        <v>48</v>
      </c>
      <c r="R2" s="38" t="s">
        <v>271</v>
      </c>
      <c r="S2" s="6"/>
      <c r="T2" s="46" t="s">
        <v>50</v>
      </c>
      <c r="U2" s="38" t="s">
        <v>271</v>
      </c>
      <c r="V2" s="6"/>
      <c r="W2" s="46" t="s">
        <v>40</v>
      </c>
      <c r="X2" s="38" t="s">
        <v>271</v>
      </c>
      <c r="Y2" s="6"/>
    </row>
    <row r="3" spans="2:25" x14ac:dyDescent="0.3">
      <c r="B3" s="48" t="s">
        <v>37</v>
      </c>
      <c r="C3" s="57">
        <f>F12</f>
        <v>9</v>
      </c>
      <c r="D3" s="3"/>
      <c r="E3" s="47" t="s">
        <v>188</v>
      </c>
      <c r="F3" s="56">
        <v>2</v>
      </c>
      <c r="G3" s="3"/>
      <c r="H3" s="47" t="s">
        <v>188</v>
      </c>
      <c r="I3" s="56">
        <v>2</v>
      </c>
      <c r="J3" s="3"/>
      <c r="K3" s="47" t="s">
        <v>126</v>
      </c>
      <c r="L3" s="56">
        <v>2</v>
      </c>
      <c r="M3" s="3"/>
      <c r="N3" s="47" t="s">
        <v>193</v>
      </c>
      <c r="O3" s="56">
        <v>2</v>
      </c>
      <c r="P3" s="3"/>
      <c r="Q3" s="47" t="s">
        <v>221</v>
      </c>
      <c r="R3" s="56">
        <v>2</v>
      </c>
      <c r="S3" s="3"/>
      <c r="T3" s="47" t="s">
        <v>201</v>
      </c>
      <c r="U3" s="56">
        <v>2</v>
      </c>
      <c r="V3" s="3"/>
      <c r="W3" s="47" t="s">
        <v>261</v>
      </c>
      <c r="X3" s="56">
        <v>2</v>
      </c>
      <c r="Y3" s="3"/>
    </row>
    <row r="4" spans="2:25" x14ac:dyDescent="0.3">
      <c r="B4" s="48" t="s">
        <v>44</v>
      </c>
      <c r="C4" s="57">
        <f>I17</f>
        <v>14</v>
      </c>
      <c r="D4" s="3"/>
      <c r="E4" s="48" t="s">
        <v>272</v>
      </c>
      <c r="F4" s="57">
        <v>2</v>
      </c>
      <c r="G4" s="3"/>
      <c r="H4" s="47" t="s">
        <v>193</v>
      </c>
      <c r="I4" s="56">
        <v>2</v>
      </c>
      <c r="J4" s="3"/>
      <c r="K4" s="48" t="s">
        <v>265</v>
      </c>
      <c r="L4" s="57">
        <v>2</v>
      </c>
      <c r="M4" s="3"/>
      <c r="N4" s="48" t="s">
        <v>203</v>
      </c>
      <c r="O4" s="57">
        <v>2</v>
      </c>
      <c r="P4" s="3"/>
      <c r="Q4" s="48" t="s">
        <v>259</v>
      </c>
      <c r="R4" s="57">
        <v>2</v>
      </c>
      <c r="S4" s="3"/>
      <c r="T4" s="47" t="s">
        <v>191</v>
      </c>
      <c r="U4" s="56">
        <v>2</v>
      </c>
      <c r="V4" s="3"/>
      <c r="W4" s="48" t="s">
        <v>263</v>
      </c>
      <c r="X4" s="57">
        <v>2</v>
      </c>
      <c r="Y4" s="3"/>
    </row>
    <row r="5" spans="2:25" x14ac:dyDescent="0.3">
      <c r="B5" s="48" t="s">
        <v>42</v>
      </c>
      <c r="C5" s="57">
        <f>L9</f>
        <v>6</v>
      </c>
      <c r="D5" s="3"/>
      <c r="E5" s="48" t="s">
        <v>206</v>
      </c>
      <c r="F5" s="57">
        <v>2</v>
      </c>
      <c r="G5" s="3"/>
      <c r="H5" s="47" t="s">
        <v>175</v>
      </c>
      <c r="I5" s="56">
        <v>1</v>
      </c>
      <c r="J5" s="3"/>
      <c r="K5" s="48" t="s">
        <v>211</v>
      </c>
      <c r="L5" s="57">
        <v>2</v>
      </c>
      <c r="M5" s="3"/>
      <c r="N5" s="48" t="s">
        <v>264</v>
      </c>
      <c r="O5" s="57">
        <v>2</v>
      </c>
      <c r="P5" s="3"/>
      <c r="Q5" s="48" t="s">
        <v>43</v>
      </c>
      <c r="R5" s="57">
        <v>2</v>
      </c>
      <c r="S5" s="3"/>
      <c r="T5" s="47" t="s">
        <v>192</v>
      </c>
      <c r="U5" s="56">
        <v>2</v>
      </c>
      <c r="V5" s="3"/>
      <c r="W5" s="48" t="s">
        <v>238</v>
      </c>
      <c r="X5" s="57">
        <v>2</v>
      </c>
      <c r="Y5" s="3"/>
    </row>
    <row r="6" spans="2:25" ht="14.4" thickBot="1" x14ac:dyDescent="0.35">
      <c r="B6" s="48" t="s">
        <v>46</v>
      </c>
      <c r="C6" s="57">
        <f>O8</f>
        <v>5</v>
      </c>
      <c r="D6" s="3"/>
      <c r="E6" s="48" t="s">
        <v>175</v>
      </c>
      <c r="F6" s="57">
        <v>2</v>
      </c>
      <c r="G6" s="3"/>
      <c r="H6" s="47" t="s">
        <v>244</v>
      </c>
      <c r="I6" s="56">
        <v>1</v>
      </c>
      <c r="J6" s="3"/>
      <c r="K6" s="48" t="s">
        <v>213</v>
      </c>
      <c r="L6" s="57">
        <v>2</v>
      </c>
      <c r="M6" s="3"/>
      <c r="N6" s="48" t="s">
        <v>195</v>
      </c>
      <c r="O6" s="57">
        <v>2</v>
      </c>
      <c r="P6" s="3"/>
      <c r="Q6" s="49" t="s">
        <v>262</v>
      </c>
      <c r="R6" s="27">
        <v>2</v>
      </c>
      <c r="S6" s="3"/>
      <c r="T6" s="48" t="s">
        <v>228</v>
      </c>
      <c r="U6" s="57">
        <v>2</v>
      </c>
      <c r="V6" s="3"/>
      <c r="W6" s="48" t="s">
        <v>230</v>
      </c>
      <c r="X6" s="57">
        <v>2</v>
      </c>
      <c r="Y6" s="3"/>
    </row>
    <row r="7" spans="2:25" ht="14.4" thickBot="1" x14ac:dyDescent="0.35">
      <c r="B7" s="48" t="s">
        <v>48</v>
      </c>
      <c r="C7" s="57">
        <f>R7</f>
        <v>4</v>
      </c>
      <c r="D7" s="3"/>
      <c r="E7" s="48" t="s">
        <v>244</v>
      </c>
      <c r="F7" s="57">
        <v>2</v>
      </c>
      <c r="G7" s="3"/>
      <c r="H7" s="47" t="s">
        <v>245</v>
      </c>
      <c r="I7" s="56">
        <v>1</v>
      </c>
      <c r="J7" s="3"/>
      <c r="K7" s="48" t="s">
        <v>236</v>
      </c>
      <c r="L7" s="57">
        <v>2</v>
      </c>
      <c r="M7" s="3"/>
      <c r="N7" s="49" t="s">
        <v>226</v>
      </c>
      <c r="O7" s="27">
        <v>2</v>
      </c>
      <c r="P7" s="3"/>
      <c r="Q7" s="127" t="s">
        <v>153</v>
      </c>
      <c r="R7" s="128">
        <f>COUNT(R3:R6)</f>
        <v>4</v>
      </c>
      <c r="S7" s="3"/>
      <c r="T7" s="48" t="s">
        <v>222</v>
      </c>
      <c r="U7" s="57">
        <v>2</v>
      </c>
      <c r="V7" s="3"/>
      <c r="W7" s="48" t="s">
        <v>237</v>
      </c>
      <c r="X7" s="57">
        <v>2</v>
      </c>
      <c r="Y7" s="3"/>
    </row>
    <row r="8" spans="2:25" ht="14.4" thickBot="1" x14ac:dyDescent="0.35">
      <c r="B8" s="48" t="s">
        <v>50</v>
      </c>
      <c r="C8" s="57">
        <f>U11</f>
        <v>8</v>
      </c>
      <c r="D8" s="3"/>
      <c r="E8" s="48" t="s">
        <v>245</v>
      </c>
      <c r="F8" s="57">
        <v>2</v>
      </c>
      <c r="G8" s="3"/>
      <c r="H8" s="48" t="s">
        <v>218</v>
      </c>
      <c r="I8" s="57">
        <v>1</v>
      </c>
      <c r="J8" s="3"/>
      <c r="K8" s="49" t="s">
        <v>250</v>
      </c>
      <c r="L8" s="27">
        <v>2</v>
      </c>
      <c r="M8" s="3"/>
      <c r="N8" s="127" t="s">
        <v>153</v>
      </c>
      <c r="O8" s="128">
        <f>COUNT(O3:O7)</f>
        <v>5</v>
      </c>
      <c r="P8" s="3"/>
      <c r="Q8" s="3"/>
      <c r="S8" s="3"/>
      <c r="T8" s="48" t="s">
        <v>210</v>
      </c>
      <c r="U8" s="57">
        <v>2</v>
      </c>
      <c r="V8" s="3"/>
      <c r="W8" s="49" t="s">
        <v>208</v>
      </c>
      <c r="X8" s="27">
        <v>2</v>
      </c>
      <c r="Y8" s="3"/>
    </row>
    <row r="9" spans="2:25" ht="14.4" thickBot="1" x14ac:dyDescent="0.35">
      <c r="B9" s="76" t="s">
        <v>40</v>
      </c>
      <c r="C9" s="77">
        <f>X9</f>
        <v>6</v>
      </c>
      <c r="D9" s="3"/>
      <c r="E9" s="48" t="s">
        <v>202</v>
      </c>
      <c r="F9" s="57">
        <v>2</v>
      </c>
      <c r="G9" s="3"/>
      <c r="H9" s="48" t="s">
        <v>224</v>
      </c>
      <c r="I9" s="57">
        <v>1</v>
      </c>
      <c r="J9" s="3"/>
      <c r="K9" s="127" t="s">
        <v>153</v>
      </c>
      <c r="L9" s="128">
        <f>COUNT(L3:L8)</f>
        <v>6</v>
      </c>
      <c r="M9" s="3"/>
      <c r="N9" s="3"/>
      <c r="O9" s="3"/>
      <c r="P9" s="3"/>
      <c r="Q9" s="3"/>
      <c r="S9" s="3"/>
      <c r="T9" s="48" t="s">
        <v>170</v>
      </c>
      <c r="U9" s="57">
        <v>2</v>
      </c>
      <c r="V9" s="3"/>
      <c r="W9" s="127" t="s">
        <v>153</v>
      </c>
      <c r="X9" s="128">
        <f>COUNT(X3:X8)</f>
        <v>6</v>
      </c>
      <c r="Y9" s="3"/>
    </row>
    <row r="10" spans="2:25" ht="14.4" thickBot="1" x14ac:dyDescent="0.35">
      <c r="B10" s="46" t="s">
        <v>153</v>
      </c>
      <c r="C10" s="38">
        <f>SUM(C3:C9)</f>
        <v>52</v>
      </c>
      <c r="D10" s="3"/>
      <c r="E10" s="48" t="s">
        <v>190</v>
      </c>
      <c r="F10" s="57">
        <v>2</v>
      </c>
      <c r="G10" s="3"/>
      <c r="H10" s="48" t="s">
        <v>262</v>
      </c>
      <c r="I10" s="57">
        <v>1</v>
      </c>
      <c r="J10" s="3"/>
      <c r="M10" s="3"/>
      <c r="N10" s="3"/>
      <c r="O10" s="3"/>
      <c r="P10" s="3"/>
      <c r="Q10" s="3"/>
      <c r="S10" s="3"/>
      <c r="T10" s="49" t="s">
        <v>246</v>
      </c>
      <c r="U10" s="27">
        <v>2</v>
      </c>
      <c r="V10" s="3"/>
      <c r="Y10" s="3"/>
    </row>
    <row r="11" spans="2:25" ht="14.4" thickBot="1" x14ac:dyDescent="0.35">
      <c r="E11" s="49" t="s">
        <v>262</v>
      </c>
      <c r="F11" s="27">
        <v>2</v>
      </c>
      <c r="H11" s="48" t="s">
        <v>181</v>
      </c>
      <c r="I11" s="57">
        <v>1</v>
      </c>
      <c r="T11" s="127" t="s">
        <v>153</v>
      </c>
      <c r="U11" s="128">
        <f>COUNT(U3:U10)</f>
        <v>8</v>
      </c>
    </row>
    <row r="12" spans="2:25" ht="14.4" thickBot="1" x14ac:dyDescent="0.35">
      <c r="E12" s="127" t="s">
        <v>153</v>
      </c>
      <c r="F12" s="128">
        <f>COUNT(F3:F11)</f>
        <v>9</v>
      </c>
      <c r="H12" s="48" t="s">
        <v>241</v>
      </c>
      <c r="I12" s="57">
        <v>1</v>
      </c>
    </row>
    <row r="13" spans="2:25" x14ac:dyDescent="0.3">
      <c r="F13" s="3"/>
      <c r="H13" s="48" t="s">
        <v>202</v>
      </c>
      <c r="I13" s="57">
        <v>1</v>
      </c>
    </row>
    <row r="14" spans="2:25" x14ac:dyDescent="0.3">
      <c r="F14" s="3"/>
      <c r="H14" s="48" t="s">
        <v>195</v>
      </c>
      <c r="I14" s="57">
        <v>1</v>
      </c>
    </row>
    <row r="15" spans="2:25" x14ac:dyDescent="0.3">
      <c r="H15" s="48" t="s">
        <v>258</v>
      </c>
      <c r="I15" s="57">
        <v>1</v>
      </c>
    </row>
    <row r="16" spans="2:25" x14ac:dyDescent="0.3">
      <c r="H16" s="48" t="s">
        <v>196</v>
      </c>
      <c r="I16" s="57">
        <v>1</v>
      </c>
    </row>
    <row r="17" spans="8:9" ht="14.4" thickBot="1" x14ac:dyDescent="0.35">
      <c r="H17" s="127" t="s">
        <v>153</v>
      </c>
      <c r="I17" s="128">
        <f>COUNT(I3:I16)</f>
        <v>14</v>
      </c>
    </row>
  </sheetData>
  <conditionalFormatting sqref="H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B1:F16"/>
  <sheetViews>
    <sheetView zoomScale="80" zoomScaleNormal="80" workbookViewId="0">
      <pane ySplit="2" topLeftCell="A3" activePane="bottomLeft" state="frozen"/>
      <selection pane="bottomLeft" activeCell="B2" sqref="B2"/>
    </sheetView>
  </sheetViews>
  <sheetFormatPr baseColWidth="10" defaultColWidth="9.109375" defaultRowHeight="13.8" x14ac:dyDescent="0.3"/>
  <cols>
    <col min="1" max="1" width="0.6640625" style="4" customWidth="1"/>
    <col min="2" max="2" width="21.88671875" style="4" customWidth="1"/>
    <col min="3" max="3" width="8.6640625" style="4" bestFit="1" customWidth="1"/>
    <col min="4" max="4" width="1.6640625" style="4" customWidth="1"/>
    <col min="5" max="5" width="62" style="4" bestFit="1" customWidth="1"/>
    <col min="6" max="6" width="10" style="4" bestFit="1" customWidth="1"/>
    <col min="7" max="16384" width="9.109375" style="4"/>
  </cols>
  <sheetData>
    <row r="1" spans="2:6" ht="3" customHeight="1" thickBot="1" x14ac:dyDescent="0.35"/>
    <row r="2" spans="2:6" ht="14.4" thickBot="1" x14ac:dyDescent="0.35">
      <c r="B2" s="46" t="s">
        <v>274</v>
      </c>
      <c r="C2" s="38" t="s">
        <v>165</v>
      </c>
      <c r="D2" s="6"/>
      <c r="E2" s="46" t="s">
        <v>194</v>
      </c>
      <c r="F2" s="38" t="s">
        <v>271</v>
      </c>
    </row>
    <row r="3" spans="2:6" ht="14.4" thickBot="1" x14ac:dyDescent="0.35">
      <c r="B3" s="48" t="s">
        <v>194</v>
      </c>
      <c r="C3" s="57">
        <f>F16</f>
        <v>13</v>
      </c>
      <c r="D3" s="3"/>
      <c r="E3" s="47" t="s">
        <v>247</v>
      </c>
      <c r="F3" s="56">
        <v>2</v>
      </c>
    </row>
    <row r="4" spans="2:6" ht="14.4" thickBot="1" x14ac:dyDescent="0.35">
      <c r="B4" s="46" t="s">
        <v>153</v>
      </c>
      <c r="C4" s="38">
        <f>SUM(C3:C3)</f>
        <v>13</v>
      </c>
      <c r="D4" s="3"/>
      <c r="E4" s="48" t="s">
        <v>81</v>
      </c>
      <c r="F4" s="57">
        <v>2</v>
      </c>
    </row>
    <row r="5" spans="2:6" x14ac:dyDescent="0.3">
      <c r="D5" s="3"/>
      <c r="E5" s="48" t="s">
        <v>243</v>
      </c>
      <c r="F5" s="57">
        <v>2</v>
      </c>
    </row>
    <row r="6" spans="2:6" x14ac:dyDescent="0.3">
      <c r="D6" s="3"/>
      <c r="E6" s="48" t="s">
        <v>275</v>
      </c>
      <c r="F6" s="57">
        <v>1</v>
      </c>
    </row>
    <row r="7" spans="2:6" x14ac:dyDescent="0.3">
      <c r="D7" s="3"/>
      <c r="E7" s="48" t="s">
        <v>206</v>
      </c>
      <c r="F7" s="57">
        <v>1</v>
      </c>
    </row>
    <row r="8" spans="2:6" x14ac:dyDescent="0.3">
      <c r="D8" s="3"/>
      <c r="E8" s="48" t="s">
        <v>256</v>
      </c>
      <c r="F8" s="57">
        <v>1</v>
      </c>
    </row>
    <row r="9" spans="2:6" x14ac:dyDescent="0.3">
      <c r="D9" s="3"/>
      <c r="E9" s="48" t="s">
        <v>260</v>
      </c>
      <c r="F9" s="57">
        <v>1</v>
      </c>
    </row>
    <row r="10" spans="2:6" x14ac:dyDescent="0.3">
      <c r="D10" s="3"/>
      <c r="E10" s="48" t="s">
        <v>255</v>
      </c>
      <c r="F10" s="57">
        <v>1</v>
      </c>
    </row>
    <row r="11" spans="2:6" x14ac:dyDescent="0.3">
      <c r="E11" s="48" t="s">
        <v>222</v>
      </c>
      <c r="F11" s="57">
        <v>1</v>
      </c>
    </row>
    <row r="12" spans="2:6" x14ac:dyDescent="0.3">
      <c r="E12" s="48" t="s">
        <v>233</v>
      </c>
      <c r="F12" s="57">
        <v>1</v>
      </c>
    </row>
    <row r="13" spans="2:6" x14ac:dyDescent="0.3">
      <c r="E13" s="48" t="s">
        <v>262</v>
      </c>
      <c r="F13" s="57">
        <v>1</v>
      </c>
    </row>
    <row r="14" spans="2:6" x14ac:dyDescent="0.3">
      <c r="E14" s="48" t="s">
        <v>240</v>
      </c>
      <c r="F14" s="57">
        <v>1</v>
      </c>
    </row>
    <row r="15" spans="2:6" ht="14.4" thickBot="1" x14ac:dyDescent="0.35">
      <c r="E15" s="49" t="s">
        <v>200</v>
      </c>
      <c r="F15" s="27">
        <v>1</v>
      </c>
    </row>
    <row r="16" spans="2:6" ht="14.4" thickBot="1" x14ac:dyDescent="0.35">
      <c r="E16" s="127" t="s">
        <v>153</v>
      </c>
      <c r="F16" s="128">
        <f>COUNT(F3:F15)</f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15"/>
  <sheetViews>
    <sheetView zoomScale="80" zoomScaleNormal="80" workbookViewId="0">
      <pane ySplit="2" topLeftCell="A3" activePane="bottomLeft" state="frozen"/>
      <selection pane="bottomLeft" activeCell="B2" sqref="B2"/>
    </sheetView>
  </sheetViews>
  <sheetFormatPr baseColWidth="10" defaultColWidth="9.109375" defaultRowHeight="13.8" x14ac:dyDescent="0.3"/>
  <cols>
    <col min="1" max="1" width="0.6640625" style="4" customWidth="1"/>
    <col min="2" max="2" width="30.109375" style="4" bestFit="1" customWidth="1"/>
    <col min="3" max="3" width="11.44140625" style="4" customWidth="1"/>
    <col min="4" max="4" width="1.6640625" style="4" customWidth="1"/>
    <col min="5" max="5" width="62.44140625" style="4" bestFit="1" customWidth="1"/>
    <col min="6" max="6" width="10" style="3" bestFit="1" customWidth="1"/>
    <col min="7" max="7" width="1.6640625" style="4" customWidth="1"/>
    <col min="8" max="8" width="62.44140625" style="4" bestFit="1" customWidth="1"/>
    <col min="9" max="9" width="10" style="4" bestFit="1" customWidth="1"/>
    <col min="10" max="10" width="1.6640625" style="4" customWidth="1"/>
    <col min="11" max="11" width="56.33203125" style="4" bestFit="1" customWidth="1"/>
    <col min="12" max="12" width="10" style="4" bestFit="1" customWidth="1"/>
    <col min="13" max="13" width="1.6640625" style="4" customWidth="1"/>
    <col min="14" max="14" width="29.88671875" style="4" bestFit="1" customWidth="1"/>
    <col min="15" max="15" width="10" style="4" bestFit="1" customWidth="1"/>
    <col min="16" max="16" width="1.6640625" style="4" customWidth="1"/>
    <col min="17" max="17" width="39.109375" style="4" bestFit="1" customWidth="1"/>
    <col min="18" max="18" width="10" style="4" bestFit="1" customWidth="1"/>
    <col min="19" max="19" width="1.6640625" style="4" customWidth="1"/>
    <col min="20" max="20" width="30.6640625" style="4" bestFit="1" customWidth="1"/>
    <col min="21" max="21" width="10" style="4" bestFit="1" customWidth="1"/>
    <col min="22" max="22" width="1.6640625" style="4" customWidth="1"/>
    <col min="23" max="23" width="46.44140625" style="4" bestFit="1" customWidth="1"/>
    <col min="24" max="24" width="10" style="4" bestFit="1" customWidth="1"/>
    <col min="25" max="25" width="1.6640625" style="4" customWidth="1"/>
    <col min="26" max="26" width="42.88671875" style="4" bestFit="1" customWidth="1"/>
    <col min="27" max="27" width="10" style="4" bestFit="1" customWidth="1"/>
    <col min="28" max="28" width="1.6640625" style="4" customWidth="1"/>
    <col min="29" max="29" width="38.6640625" style="4" bestFit="1" customWidth="1"/>
    <col min="30" max="30" width="10" style="4" bestFit="1" customWidth="1"/>
    <col min="31" max="31" width="1.6640625" style="4" customWidth="1"/>
    <col min="32" max="32" width="62" style="4" bestFit="1" customWidth="1"/>
    <col min="33" max="33" width="10" style="4" bestFit="1" customWidth="1"/>
    <col min="34" max="34" width="1.6640625" style="4" customWidth="1"/>
    <col min="35" max="35" width="65.88671875" style="4" bestFit="1" customWidth="1"/>
    <col min="36" max="36" width="9.109375" style="4"/>
    <col min="37" max="37" width="1.6640625" style="4" customWidth="1"/>
    <col min="38" max="38" width="65.88671875" style="4" bestFit="1" customWidth="1"/>
    <col min="39" max="16384" width="9.109375" style="4"/>
  </cols>
  <sheetData>
    <row r="1" spans="2:39" ht="3" customHeight="1" thickBot="1" x14ac:dyDescent="0.35">
      <c r="AC1" s="54"/>
      <c r="AD1" s="55"/>
    </row>
    <row r="2" spans="2:39" ht="14.4" thickBot="1" x14ac:dyDescent="0.35">
      <c r="B2" s="46" t="s">
        <v>276</v>
      </c>
      <c r="C2" s="38" t="s">
        <v>165</v>
      </c>
      <c r="D2" s="6"/>
      <c r="E2" s="46" t="s">
        <v>76</v>
      </c>
      <c r="F2" s="38" t="s">
        <v>271</v>
      </c>
      <c r="G2" s="6"/>
      <c r="H2" s="46" t="s">
        <v>59</v>
      </c>
      <c r="I2" s="38" t="s">
        <v>271</v>
      </c>
      <c r="J2" s="6"/>
      <c r="K2" s="46" t="s">
        <v>70</v>
      </c>
      <c r="L2" s="38" t="s">
        <v>271</v>
      </c>
      <c r="M2" s="6"/>
      <c r="N2" s="46" t="s">
        <v>72</v>
      </c>
      <c r="O2" s="38" t="s">
        <v>271</v>
      </c>
      <c r="P2" s="6"/>
      <c r="Q2" s="46" t="s">
        <v>68</v>
      </c>
      <c r="R2" s="38" t="s">
        <v>271</v>
      </c>
      <c r="S2" s="6"/>
      <c r="T2" s="46" t="s">
        <v>78</v>
      </c>
      <c r="U2" s="38" t="s">
        <v>271</v>
      </c>
      <c r="V2" s="6"/>
      <c r="W2" s="46" t="s">
        <v>84</v>
      </c>
      <c r="X2" s="38" t="s">
        <v>271</v>
      </c>
      <c r="Y2" s="6"/>
      <c r="Z2" s="46" t="s">
        <v>74</v>
      </c>
      <c r="AA2" s="38" t="s">
        <v>271</v>
      </c>
      <c r="AB2" s="6"/>
      <c r="AC2" s="46" t="s">
        <v>64</v>
      </c>
      <c r="AD2" s="38" t="s">
        <v>271</v>
      </c>
      <c r="AE2" s="6"/>
      <c r="AF2" s="46" t="s">
        <v>82</v>
      </c>
      <c r="AG2" s="38" t="s">
        <v>271</v>
      </c>
      <c r="AH2" s="6"/>
      <c r="AI2" s="46" t="s">
        <v>80</v>
      </c>
      <c r="AJ2" s="38" t="s">
        <v>271</v>
      </c>
      <c r="AK2" s="6"/>
      <c r="AL2" s="46" t="s">
        <v>61</v>
      </c>
      <c r="AM2" s="38" t="s">
        <v>271</v>
      </c>
    </row>
    <row r="3" spans="2:39" ht="14.4" thickBot="1" x14ac:dyDescent="0.35">
      <c r="B3" s="47" t="s">
        <v>76</v>
      </c>
      <c r="C3" s="56">
        <f>F6</f>
        <v>3</v>
      </c>
      <c r="D3" s="3"/>
      <c r="E3" s="47" t="s">
        <v>205</v>
      </c>
      <c r="F3" s="56">
        <v>2</v>
      </c>
      <c r="G3" s="3"/>
      <c r="H3" s="47" t="s">
        <v>170</v>
      </c>
      <c r="I3" s="56">
        <v>2</v>
      </c>
      <c r="J3" s="3"/>
      <c r="K3" s="49" t="s">
        <v>241</v>
      </c>
      <c r="L3" s="27">
        <v>2</v>
      </c>
      <c r="M3" s="3"/>
      <c r="N3" s="48" t="s">
        <v>204</v>
      </c>
      <c r="O3" s="57">
        <v>2</v>
      </c>
      <c r="P3" s="3"/>
      <c r="Q3" s="47" t="s">
        <v>192</v>
      </c>
      <c r="R3" s="56">
        <v>2</v>
      </c>
      <c r="S3" s="3"/>
      <c r="T3" s="48" t="s">
        <v>207</v>
      </c>
      <c r="U3" s="57">
        <v>2</v>
      </c>
      <c r="V3" s="3"/>
      <c r="W3" s="47" t="s">
        <v>277</v>
      </c>
      <c r="X3" s="56">
        <v>2</v>
      </c>
      <c r="Y3" s="3"/>
      <c r="Z3" s="48" t="s">
        <v>189</v>
      </c>
      <c r="AA3" s="57">
        <v>2</v>
      </c>
      <c r="AB3" s="3"/>
      <c r="AC3" s="48" t="s">
        <v>189</v>
      </c>
      <c r="AD3" s="57">
        <v>2</v>
      </c>
      <c r="AE3" s="3"/>
      <c r="AF3" s="47" t="s">
        <v>189</v>
      </c>
      <c r="AG3" s="56">
        <v>2</v>
      </c>
      <c r="AH3" s="3"/>
      <c r="AI3" s="47" t="s">
        <v>250</v>
      </c>
      <c r="AJ3" s="56">
        <v>2</v>
      </c>
      <c r="AK3" s="3"/>
      <c r="AL3" s="49" t="s">
        <v>234</v>
      </c>
      <c r="AM3" s="27">
        <v>2</v>
      </c>
    </row>
    <row r="4" spans="2:39" ht="14.4" thickBot="1" x14ac:dyDescent="0.35">
      <c r="B4" s="48" t="s">
        <v>59</v>
      </c>
      <c r="C4" s="57">
        <f>I12</f>
        <v>9</v>
      </c>
      <c r="D4" s="3"/>
      <c r="E4" s="48" t="s">
        <v>206</v>
      </c>
      <c r="F4" s="57">
        <v>2</v>
      </c>
      <c r="G4" s="3"/>
      <c r="H4" s="48" t="s">
        <v>192</v>
      </c>
      <c r="I4" s="57">
        <v>2</v>
      </c>
      <c r="J4" s="3"/>
      <c r="K4" s="127" t="s">
        <v>153</v>
      </c>
      <c r="L4" s="128">
        <f>COUNT(L3)</f>
        <v>1</v>
      </c>
      <c r="M4" s="3"/>
      <c r="N4" s="49" t="s">
        <v>241</v>
      </c>
      <c r="O4" s="27">
        <v>2</v>
      </c>
      <c r="P4" s="3"/>
      <c r="Q4" s="48" t="s">
        <v>204</v>
      </c>
      <c r="R4" s="57">
        <v>2</v>
      </c>
      <c r="S4" s="3"/>
      <c r="T4" s="48" t="s">
        <v>257</v>
      </c>
      <c r="U4" s="57">
        <v>2</v>
      </c>
      <c r="V4" s="3"/>
      <c r="W4" s="48" t="s">
        <v>269</v>
      </c>
      <c r="X4" s="57">
        <v>2</v>
      </c>
      <c r="Y4" s="3"/>
      <c r="Z4" s="48" t="s">
        <v>211</v>
      </c>
      <c r="AA4" s="57">
        <v>2</v>
      </c>
      <c r="AB4" s="3"/>
      <c r="AC4" s="48" t="s">
        <v>211</v>
      </c>
      <c r="AD4" s="57">
        <v>2</v>
      </c>
      <c r="AE4" s="3"/>
      <c r="AF4" s="47" t="s">
        <v>193</v>
      </c>
      <c r="AG4" s="56">
        <v>2</v>
      </c>
      <c r="AH4" s="3"/>
      <c r="AI4" s="49" t="s">
        <v>260</v>
      </c>
      <c r="AJ4" s="27">
        <v>2</v>
      </c>
      <c r="AK4" s="3"/>
      <c r="AL4" s="127" t="s">
        <v>153</v>
      </c>
      <c r="AM4" s="128">
        <f>COUNT(AM3)</f>
        <v>1</v>
      </c>
    </row>
    <row r="5" spans="2:39" ht="14.4" thickBot="1" x14ac:dyDescent="0.35">
      <c r="B5" s="48" t="s">
        <v>70</v>
      </c>
      <c r="C5" s="57">
        <f>L4</f>
        <v>1</v>
      </c>
      <c r="D5" s="3"/>
      <c r="E5" s="49" t="s">
        <v>226</v>
      </c>
      <c r="F5" s="27">
        <v>2</v>
      </c>
      <c r="G5" s="3"/>
      <c r="H5" s="48" t="s">
        <v>205</v>
      </c>
      <c r="I5" s="57">
        <v>2</v>
      </c>
      <c r="J5" s="3"/>
      <c r="M5" s="3"/>
      <c r="N5" s="127" t="s">
        <v>153</v>
      </c>
      <c r="O5" s="128">
        <f>COUNT(O3:O4)</f>
        <v>2</v>
      </c>
      <c r="P5" s="3"/>
      <c r="Q5" s="48" t="s">
        <v>222</v>
      </c>
      <c r="R5" s="57">
        <v>2</v>
      </c>
      <c r="S5" s="3"/>
      <c r="T5" s="49" t="s">
        <v>268</v>
      </c>
      <c r="U5" s="27">
        <v>2</v>
      </c>
      <c r="V5" s="3"/>
      <c r="W5" s="49" t="s">
        <v>278</v>
      </c>
      <c r="X5" s="27">
        <v>2</v>
      </c>
      <c r="Y5" s="3"/>
      <c r="Z5" s="48" t="s">
        <v>214</v>
      </c>
      <c r="AA5" s="57">
        <v>2</v>
      </c>
      <c r="AB5" s="3"/>
      <c r="AC5" s="49" t="s">
        <v>214</v>
      </c>
      <c r="AD5" s="27">
        <v>2</v>
      </c>
      <c r="AE5" s="3"/>
      <c r="AF5" s="48" t="s">
        <v>87</v>
      </c>
      <c r="AG5" s="57">
        <v>2</v>
      </c>
      <c r="AH5" s="3"/>
      <c r="AI5" s="127" t="s">
        <v>153</v>
      </c>
      <c r="AJ5" s="128">
        <f>COUNT(AJ3:AJ4)</f>
        <v>2</v>
      </c>
      <c r="AK5" s="3"/>
    </row>
    <row r="6" spans="2:39" ht="14.4" thickBot="1" x14ac:dyDescent="0.35">
      <c r="B6" s="48" t="s">
        <v>72</v>
      </c>
      <c r="C6" s="57">
        <f>O5</f>
        <v>2</v>
      </c>
      <c r="D6" s="3"/>
      <c r="E6" s="127" t="s">
        <v>153</v>
      </c>
      <c r="F6" s="128">
        <f>COUNT(F3:F5)</f>
        <v>3</v>
      </c>
      <c r="G6" s="3"/>
      <c r="H6" s="48" t="s">
        <v>206</v>
      </c>
      <c r="I6" s="57">
        <v>2</v>
      </c>
      <c r="J6" s="3"/>
      <c r="M6" s="3"/>
      <c r="P6" s="3"/>
      <c r="Q6" s="49" t="s">
        <v>241</v>
      </c>
      <c r="R6" s="27">
        <v>2</v>
      </c>
      <c r="S6" s="3"/>
      <c r="T6" s="127" t="s">
        <v>153</v>
      </c>
      <c r="U6" s="128">
        <f>COUNT(U3:U5)</f>
        <v>3</v>
      </c>
      <c r="V6" s="3"/>
      <c r="W6" s="127" t="s">
        <v>153</v>
      </c>
      <c r="X6" s="128">
        <f>COUNT(X3:X5)</f>
        <v>3</v>
      </c>
      <c r="Y6" s="3"/>
      <c r="Z6" s="48" t="s">
        <v>215</v>
      </c>
      <c r="AA6" s="57">
        <v>2</v>
      </c>
      <c r="AB6" s="3"/>
      <c r="AC6" s="127" t="s">
        <v>153</v>
      </c>
      <c r="AD6" s="128">
        <f>COUNT(AD3:AD5)</f>
        <v>3</v>
      </c>
      <c r="AE6" s="3"/>
      <c r="AF6" s="48" t="s">
        <v>218</v>
      </c>
      <c r="AG6" s="57">
        <v>2</v>
      </c>
      <c r="AH6" s="3"/>
      <c r="AK6" s="3"/>
    </row>
    <row r="7" spans="2:39" ht="14.4" thickBot="1" x14ac:dyDescent="0.35">
      <c r="B7" s="48" t="s">
        <v>68</v>
      </c>
      <c r="C7" s="57">
        <f>R7</f>
        <v>4</v>
      </c>
      <c r="D7" s="3"/>
      <c r="G7" s="3"/>
      <c r="H7" s="48" t="s">
        <v>222</v>
      </c>
      <c r="I7" s="57">
        <v>2</v>
      </c>
      <c r="J7" s="3"/>
      <c r="M7" s="3"/>
      <c r="P7" s="3"/>
      <c r="Q7" s="127" t="s">
        <v>153</v>
      </c>
      <c r="R7" s="128">
        <f>COUNT(R3:R6)</f>
        <v>4</v>
      </c>
      <c r="S7" s="3"/>
      <c r="V7" s="3"/>
      <c r="Y7" s="3"/>
      <c r="Z7" s="49" t="s">
        <v>233</v>
      </c>
      <c r="AA7" s="27">
        <v>2</v>
      </c>
      <c r="AB7" s="3"/>
      <c r="AE7" s="3"/>
      <c r="AF7" s="48" t="s">
        <v>235</v>
      </c>
      <c r="AG7" s="57">
        <v>2</v>
      </c>
      <c r="AH7" s="3"/>
      <c r="AK7" s="3"/>
    </row>
    <row r="8" spans="2:39" ht="14.4" thickBot="1" x14ac:dyDescent="0.35">
      <c r="B8" s="48" t="s">
        <v>78</v>
      </c>
      <c r="C8" s="57">
        <f>U6</f>
        <v>3</v>
      </c>
      <c r="D8" s="3"/>
      <c r="G8" s="3"/>
      <c r="H8" s="48" t="s">
        <v>226</v>
      </c>
      <c r="I8" s="57">
        <v>2</v>
      </c>
      <c r="J8" s="3"/>
      <c r="M8" s="3"/>
      <c r="P8" s="3"/>
      <c r="S8" s="3"/>
      <c r="V8" s="3"/>
      <c r="Y8" s="3"/>
      <c r="Z8" s="127" t="s">
        <v>153</v>
      </c>
      <c r="AA8" s="128">
        <f>COUNT(AA3:AA7)</f>
        <v>5</v>
      </c>
      <c r="AB8" s="3"/>
      <c r="AE8" s="3"/>
      <c r="AF8" s="48" t="s">
        <v>241</v>
      </c>
      <c r="AG8" s="57">
        <v>2</v>
      </c>
      <c r="AH8" s="3"/>
      <c r="AK8" s="3"/>
    </row>
    <row r="9" spans="2:39" ht="14.4" thickBot="1" x14ac:dyDescent="0.35">
      <c r="B9" s="48" t="s">
        <v>84</v>
      </c>
      <c r="C9" s="57">
        <f>X6</f>
        <v>3</v>
      </c>
      <c r="D9" s="3"/>
      <c r="G9" s="3"/>
      <c r="H9" s="48" t="s">
        <v>240</v>
      </c>
      <c r="I9" s="57">
        <v>2</v>
      </c>
      <c r="J9" s="3"/>
      <c r="M9" s="3"/>
      <c r="P9" s="3"/>
      <c r="S9" s="3"/>
      <c r="V9" s="3"/>
      <c r="Y9" s="3"/>
      <c r="AB9" s="3"/>
      <c r="AE9" s="3"/>
      <c r="AF9" s="49" t="s">
        <v>249</v>
      </c>
      <c r="AG9" s="27">
        <v>2</v>
      </c>
      <c r="AH9" s="3"/>
      <c r="AK9" s="3"/>
    </row>
    <row r="10" spans="2:39" ht="14.4" thickBot="1" x14ac:dyDescent="0.35">
      <c r="B10" s="48" t="s">
        <v>74</v>
      </c>
      <c r="C10" s="57">
        <f>AA8</f>
        <v>5</v>
      </c>
      <c r="D10" s="3"/>
      <c r="G10" s="3"/>
      <c r="H10" s="76" t="s">
        <v>255</v>
      </c>
      <c r="I10" s="77">
        <v>2</v>
      </c>
      <c r="J10" s="3"/>
      <c r="M10" s="3"/>
      <c r="P10" s="3"/>
      <c r="S10" s="3"/>
      <c r="V10" s="3"/>
      <c r="Y10" s="3"/>
      <c r="AB10" s="3"/>
      <c r="AE10" s="3"/>
      <c r="AF10" s="127" t="s">
        <v>153</v>
      </c>
      <c r="AG10" s="128">
        <f>COUNT(AG3:AG9)</f>
        <v>7</v>
      </c>
      <c r="AH10" s="3"/>
      <c r="AK10" s="3"/>
    </row>
    <row r="11" spans="2:39" ht="14.4" thickBot="1" x14ac:dyDescent="0.35">
      <c r="B11" s="48" t="s">
        <v>64</v>
      </c>
      <c r="C11" s="57">
        <f>AD6</f>
        <v>3</v>
      </c>
      <c r="H11" s="49" t="s">
        <v>262</v>
      </c>
      <c r="I11" s="27">
        <v>2</v>
      </c>
    </row>
    <row r="12" spans="2:39" ht="14.4" thickBot="1" x14ac:dyDescent="0.35">
      <c r="B12" s="48" t="s">
        <v>82</v>
      </c>
      <c r="C12" s="57">
        <f>AG10</f>
        <v>7</v>
      </c>
      <c r="H12" s="127" t="s">
        <v>153</v>
      </c>
      <c r="I12" s="128">
        <f>COUNT(I3:I11)</f>
        <v>9</v>
      </c>
    </row>
    <row r="13" spans="2:39" x14ac:dyDescent="0.3">
      <c r="B13" s="76" t="s">
        <v>80</v>
      </c>
      <c r="C13" s="57">
        <f>AJ5</f>
        <v>2</v>
      </c>
    </row>
    <row r="14" spans="2:39" ht="14.4" thickBot="1" x14ac:dyDescent="0.35">
      <c r="B14" s="76" t="s">
        <v>61</v>
      </c>
      <c r="C14" s="77">
        <f>AM4</f>
        <v>1</v>
      </c>
    </row>
    <row r="15" spans="2:39" ht="14.4" thickBot="1" x14ac:dyDescent="0.35">
      <c r="B15" s="46" t="s">
        <v>153</v>
      </c>
      <c r="C15" s="38">
        <f>SUM(C3:C14)</f>
        <v>43</v>
      </c>
    </row>
  </sheetData>
  <sortState xmlns:xlrd2="http://schemas.microsoft.com/office/spreadsheetml/2017/richdata2" ref="AF3:AG9">
    <sortCondition ref="AF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Questionário &amp; Resultados</vt:lpstr>
      <vt:lpstr>Bibliografia</vt:lpstr>
      <vt:lpstr>Tabela de Resultados</vt:lpstr>
      <vt:lpstr>Base de Dados</vt:lpstr>
      <vt:lpstr>Perfil Vitaminico</vt:lpstr>
      <vt:lpstr>Perfil Mineral</vt:lpstr>
      <vt:lpstr>Perfil de A. Gordos</vt:lpstr>
      <vt:lpstr>Suplem. Adicionais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Miguel Cardoso Pereira</dc:creator>
  <cp:keywords/>
  <dc:description/>
  <cp:lastModifiedBy>Miguel Ángel López</cp:lastModifiedBy>
  <cp:revision/>
  <dcterms:created xsi:type="dcterms:W3CDTF">2015-07-19T11:53:03Z</dcterms:created>
  <dcterms:modified xsi:type="dcterms:W3CDTF">2024-06-14T16:53:04Z</dcterms:modified>
  <cp:category/>
  <cp:contentStatus/>
</cp:coreProperties>
</file>